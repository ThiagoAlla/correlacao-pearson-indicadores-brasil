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IB_vs_Energia_Principal" sheetId="1" state="visible" r:id="rId1"/>
    <sheet name="2_PIB_vs_Expectativa_Vida" sheetId="2" state="visible" r:id="rId2"/>
    <sheet name="3_PIB_vs_Pobreza_Extrema" sheetId="3" state="visible" r:id="rId3"/>
    <sheet name="4_Base_Consolidada_Bras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onsolas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" fontId="4" fillId="0" borderId="1" pivotButton="0" quotePrefix="0" xfId="0"/>
    <xf numFmtId="0" fontId="4" fillId="5" borderId="1" pivotButton="0" quotePrefix="0" xfId="0"/>
    <xf numFmtId="0" fontId="6" fillId="5" borderId="1" pivotButton="0" quotePrefix="0" xfId="0"/>
    <xf numFmtId="1" fontId="4" fillId="5" borderId="1" pivotButton="0" quotePrefix="0" xfId="0"/>
    <xf numFmtId="0" fontId="4" fillId="5" borderId="1" applyAlignment="1" pivotButton="0" quotePrefix="0" xfId="0">
      <alignment horizontal="center"/>
    </xf>
    <xf numFmtId="4" fontId="4" fillId="5" borderId="1" pivotButton="0" quotePrefix="0" xfId="0"/>
    <xf numFmtId="0" fontId="5" fillId="7" borderId="1" pivotButton="0" quotePrefix="0" xfId="0"/>
    <xf numFmtId="0" fontId="6" fillId="7" borderId="1" pivotButton="0" quotePrefix="0" xfId="0"/>
    <xf numFmtId="164" fontId="5" fillId="7" borderId="1" pivotButton="0" quotePrefix="0" xfId="0"/>
    <xf numFmtId="164" fontId="4" fillId="7" borderId="1" pivotButton="0" quotePrefix="0" xfId="0"/>
    <xf numFmtId="165" fontId="4" fillId="5" borderId="1" pivotButton="0" quotePrefix="0" xfId="0"/>
    <xf numFmtId="164" fontId="4" fillId="5" borderId="1" pivotButton="0" quotePrefix="0" xfId="0"/>
    <xf numFmtId="11" fontId="4" fillId="5" borderId="1" pivotButton="0" quotePrefix="0" xfId="0"/>
    <xf numFmtId="0" fontId="3" fillId="4" borderId="0" applyAlignment="1" pivotButton="0" quotePrefix="0" xfId="0">
      <alignment horizontal="center" vertical="center"/>
    </xf>
    <xf numFmtId="0" fontId="5" fillId="6" borderId="1" pivotButton="0" quotePrefix="0" xfId="0"/>
    <xf numFmtId="0" fontId="4" fillId="0" borderId="1" pivotButton="0" quotePrefix="0" xfId="0"/>
    <xf numFmtId="0" fontId="5" fillId="6" borderId="1" applyAlignment="1" pivotButton="0" quotePrefix="0" xfId="0">
      <alignment horizontal="center"/>
    </xf>
    <xf numFmtId="4" fontId="5" fillId="6" borderId="1" pivotButton="0" quotePrefix="0" xfId="0"/>
    <xf numFmtId="2" fontId="5" fillId="6" borderId="1" pivotButton="0" quotePrefix="0" xfId="0"/>
    <xf numFmtId="0" fontId="3" fillId="2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Diagrama de Dispersão: PIB per capita PPP × Consumo Elétrico per capita</a:t>
            </a:r>
          </a:p>
        </rich>
      </tx>
    </title>
    <plotArea>
      <scatterChart>
        <ser>
          <idx val="0"/>
          <order val="0"/>
          <tx>
            <v>Observado (Brasil)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'1_PIB_vs_Energia_Principal'!$B$6:$B$41</f>
            </numRef>
          </xVal>
          <yVal>
            <numRef>
              <f>'1_PIB_vs_Energia_Principal'!$C$6:$C$41</f>
            </numRef>
          </yVal>
        </ser>
        <ser>
          <idx val="1"/>
          <order val="1"/>
          <tx>
            <v>Reta de Regressão Linear (Ŷ)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'1_PIB_vs_Energia_Principal'!$B$6:$B$41</f>
            </numRef>
          </xVal>
          <yVal>
            <numRef>
              <f>'1_PIB_vs_Energia_Principal'!$I$6:$I$41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PIB per capita PPP (US$ PPP)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Consumo Elétrico per capita (kWh/hab)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Diagrama de Dispersão: PIB per capita PPP × Expectativa de Vida</a:t>
            </a:r>
          </a:p>
        </rich>
      </tx>
    </title>
    <plotArea>
      <scatterChart>
        <ser>
          <idx val="0"/>
          <order val="0"/>
          <tx>
            <v>Observado (Brasil)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'2_PIB_vs_Expectativa_Vida'!$B$6:$B$40</f>
            </numRef>
          </xVal>
          <yVal>
            <numRef>
              <f>'2_PIB_vs_Expectativa_Vida'!$C$6:$C$40</f>
            </numRef>
          </yVal>
        </ser>
        <ser>
          <idx val="1"/>
          <order val="1"/>
          <tx>
            <v>Reta de Regressão Linear (Ŷ)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'2_PIB_vs_Expectativa_Vida'!$B$6:$B$40</f>
            </numRef>
          </xVal>
          <yVal>
            <numRef>
              <f>'2_PIB_vs_Expectativa_Vida'!$I$6:$I$40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PIB per capita PPP (US$ PPP)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Expectativa de Vida (Anos)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Diagrama de Dispersão: PIB per capita PPP × Extrema Pobreza (% pop.)</a:t>
            </a:r>
          </a:p>
        </rich>
      </tx>
    </title>
    <plotArea>
      <scatterChart>
        <ser>
          <idx val="0"/>
          <order val="0"/>
          <tx>
            <v>Observado (Brasil)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'3_PIB_vs_Pobreza_Extrema'!$B$6:$B$36</f>
            </numRef>
          </xVal>
          <yVal>
            <numRef>
              <f>'3_PIB_vs_Pobreza_Extrema'!$C$6:$C$36</f>
            </numRef>
          </yVal>
        </ser>
        <ser>
          <idx val="1"/>
          <order val="1"/>
          <tx>
            <v>Reta de Regressão Linear (Ŷ)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'3_PIB_vs_Pobreza_Extrema'!$B$6:$B$36</f>
            </numRef>
          </xVal>
          <yVal>
            <numRef>
              <f>'3_PIB_vs_Pobreza_Extrema'!$I$6:$I$36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PIB per capita PPP (US$ PPP)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Extrema Pobreza (% pop.) (% da População)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</row>
      <rowOff>0</rowOff>
    </from>
    <ext cx="684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</row>
      <rowOff>0</rowOff>
    </from>
    <ext cx="684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</row>
      <rowOff>0</rowOff>
    </from>
    <ext cx="684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2" customWidth="1" min="6" max="6"/>
    <col width="20" customWidth="1" min="7" max="7"/>
    <col width="20" customWidth="1" min="8" max="8"/>
    <col width="20" customWidth="1" min="9" max="9"/>
    <col width="3" customWidth="1" min="10" max="10"/>
    <col width="38" customWidth="1" min="11" max="11"/>
    <col width="22" customWidth="1" min="12" max="12"/>
    <col width="20" customWidth="1" min="13" max="13"/>
    <col width="18" customWidth="1" min="14" max="14"/>
  </cols>
  <sheetData>
    <row r="1" ht="28" customHeight="1">
      <c r="A1" s="1" t="inlineStr">
        <is>
          <t>ANÁLISE 1: PIB PER CAPITA (PPP) × CONSUMO DE ENERGIA ELÉTRICA NO BRASIL (1990–2025)</t>
        </is>
      </c>
    </row>
    <row r="2" ht="22" customHeight="1">
      <c r="A2" s="2" t="inlineStr">
        <is>
          <t>LITERATURA / REFERÊNCIA OFICIAL DOS DADOS E DO DIAGRAMA DE DISPERSÃO:
• Base Oficial: WORLD BANK. World Development Indicators (WDI) — Brazil (BRA). Washington, DC: The World Bank Group, 2026. Indicadores: NY.GDP.PCAP.PP.CD e EG.USE.ELEC.KH.PC. Disponível em: https://api.worldbank.org/v2/pt/country/BRA?downloadformat=csv
• Literatura Científica do Diagrama: KRAFT, J.; KRAFT, A. On the relationship between energy and GNP. The Journal of Energy and Development, v. 3, n. 2, p. 401-403, 1978.</t>
        </is>
      </c>
    </row>
    <row r="3" ht="22" customHeight="1"/>
    <row r="4">
      <c r="K4" s="3" t="inlineStr">
        <is>
          <t>Indicador Estatístico</t>
        </is>
      </c>
      <c r="L4" s="3" t="inlineStr">
        <is>
          <t>Equivalente PT-BR</t>
        </is>
      </c>
      <c r="M4" s="3" t="inlineStr">
        <is>
          <t>Fórmula Ativa (Excel)</t>
        </is>
      </c>
      <c r="N4" s="3" t="inlineStr">
        <is>
          <t>Valor Calculado</t>
        </is>
      </c>
    </row>
    <row r="5" ht="30" customHeight="1">
      <c r="A5" s="4" t="inlineStr">
        <is>
          <t>Ano</t>
        </is>
      </c>
      <c r="B5" s="4" t="inlineStr">
        <is>
          <t>Variável X:
PIB per capita PPP</t>
        </is>
      </c>
      <c r="C5" s="4" t="inlineStr">
        <is>
          <t>Variável Y:
Consumo Elétrico per capita</t>
        </is>
      </c>
      <c r="D5" s="4" t="inlineStr">
        <is>
          <t>Desvio em X
(xi - x̄)</t>
        </is>
      </c>
      <c r="E5" s="4" t="inlineStr">
        <is>
          <t>Desvio em Y
(yi - ȳ)</t>
        </is>
      </c>
      <c r="F5" s="4" t="inlineStr">
        <is>
          <t>Produto dos Desvios
(xi - x̄)·(yi - ȳ)</t>
        </is>
      </c>
      <c r="G5" s="4" t="inlineStr">
        <is>
          <t>Quadrado Desvio X
(xi - x̄)²</t>
        </is>
      </c>
      <c r="H5" s="4" t="inlineStr">
        <is>
          <t>Quadrado Desvio Y
(yi - ȳ)²</t>
        </is>
      </c>
      <c r="I5" s="4" t="inlineStr">
        <is>
          <t>Projeção Linear (Ŷ)
kWh/hab</t>
        </is>
      </c>
      <c r="K5" s="5" t="inlineStr">
        <is>
          <t>QUADRO ESTATÍSTICO — CORRELAÇÃO DE PEARSON E REGRESSÃO NO EXCEL</t>
        </is>
      </c>
    </row>
    <row r="6">
      <c r="A6" s="6" t="n">
        <v>1990</v>
      </c>
      <c r="B6" s="7" t="n">
        <v>6687.9229</v>
      </c>
      <c r="C6" s="7" t="n">
        <v>1459.3891</v>
      </c>
      <c r="D6" s="7">
        <f>B6-$B$42</f>
        <v/>
      </c>
      <c r="E6" s="7">
        <f>C6-$C$42</f>
        <v/>
      </c>
      <c r="F6" s="7">
        <f>D6*E6</f>
        <v/>
      </c>
      <c r="G6" s="7">
        <f>D6^2</f>
        <v/>
      </c>
      <c r="H6" s="7">
        <f>E6^2</f>
        <v/>
      </c>
      <c r="I6" s="7">
        <f>$M$12+$M$11*B6</f>
        <v/>
      </c>
      <c r="K6" s="8" t="inlineStr">
        <is>
          <t>Número de Observações (n)</t>
        </is>
      </c>
      <c r="L6" s="9">
        <f>CONT.NÚM()</f>
        <v/>
      </c>
      <c r="M6" s="10">
        <f>COUNT(B6:B41)</f>
        <v/>
      </c>
      <c r="N6" s="10" t="n">
        <v>36</v>
      </c>
    </row>
    <row r="7">
      <c r="A7" s="11" t="n">
        <v>1991</v>
      </c>
      <c r="B7" s="12" t="n">
        <v>6866.6304</v>
      </c>
      <c r="C7" s="12" t="n">
        <v>1485.4777</v>
      </c>
      <c r="D7" s="12">
        <f>B7-$B$42</f>
        <v/>
      </c>
      <c r="E7" s="12">
        <f>C7-$C$42</f>
        <v/>
      </c>
      <c r="F7" s="12">
        <f>D7*E7</f>
        <v/>
      </c>
      <c r="G7" s="12">
        <f>D7^2</f>
        <v/>
      </c>
      <c r="H7" s="12">
        <f>E7^2</f>
        <v/>
      </c>
      <c r="I7" s="12">
        <f>$M$12+$M$11*B7</f>
        <v/>
      </c>
      <c r="K7" s="13" t="inlineStr">
        <is>
          <t>Coeficiente de Pearson (Função CORREL)</t>
        </is>
      </c>
      <c r="L7" s="14">
        <f>CORREL(X; Y)</f>
        <v/>
      </c>
      <c r="M7" s="15">
        <f>CORREL(B6:B41,C6:C41)</f>
        <v/>
      </c>
      <c r="N7" s="15" t="n">
        <v>0.9750331342616462</v>
      </c>
    </row>
    <row r="8">
      <c r="A8" s="6" t="n">
        <v>1992</v>
      </c>
      <c r="B8" s="7" t="n">
        <v>6869.41</v>
      </c>
      <c r="C8" s="7" t="n">
        <v>1493.9095</v>
      </c>
      <c r="D8" s="7">
        <f>B8-$B$42</f>
        <v/>
      </c>
      <c r="E8" s="7">
        <f>C8-$C$42</f>
        <v/>
      </c>
      <c r="F8" s="7">
        <f>D8*E8</f>
        <v/>
      </c>
      <c r="G8" s="7">
        <f>D8^2</f>
        <v/>
      </c>
      <c r="H8" s="7">
        <f>E8^2</f>
        <v/>
      </c>
      <c r="I8" s="7">
        <f>$M$12+$M$11*B8</f>
        <v/>
      </c>
      <c r="K8" s="13" t="inlineStr">
        <is>
          <t>Coeficiente de Pearson (Função PEARSON)</t>
        </is>
      </c>
      <c r="L8" s="14">
        <f>PEARSON(X; Y)</f>
        <v/>
      </c>
      <c r="M8" s="15">
        <f>PEARSON(B6:B41,C6:C41)</f>
        <v/>
      </c>
      <c r="N8" s="15" t="n">
        <v>0.9750331342616462</v>
      </c>
    </row>
    <row r="9">
      <c r="A9" s="11" t="n">
        <v>1993</v>
      </c>
      <c r="B9" s="12" t="n">
        <v>7259.9889</v>
      </c>
      <c r="C9" s="12" t="n">
        <v>1538.1272</v>
      </c>
      <c r="D9" s="12">
        <f>B9-$B$42</f>
        <v/>
      </c>
      <c r="E9" s="12">
        <f>C9-$C$42</f>
        <v/>
      </c>
      <c r="F9" s="12">
        <f>D9*E9</f>
        <v/>
      </c>
      <c r="G9" s="12">
        <f>D9^2</f>
        <v/>
      </c>
      <c r="H9" s="12">
        <f>E9^2</f>
        <v/>
      </c>
      <c r="I9" s="12">
        <f>$M$12+$M$11*B9</f>
        <v/>
      </c>
      <c r="K9" s="13" t="inlineStr">
        <is>
          <t>Pearson pela Fórmula Algébrica (Somas)</t>
        </is>
      </c>
      <c r="L9" s="14" t="inlineStr">
        <is>
          <t>Σ(dx·dy)/√[Σdx²·Σdy²]</t>
        </is>
      </c>
      <c r="M9" s="15">
        <f>F42/SQRT(G42*H42)</f>
        <v/>
      </c>
      <c r="N9" s="15" t="n">
        <v>0.9750331342616461</v>
      </c>
    </row>
    <row r="10">
      <c r="A10" s="6" t="n">
        <v>1994</v>
      </c>
      <c r="B10" s="7" t="n">
        <v>7727.2454</v>
      </c>
      <c r="C10" s="7" t="n">
        <v>1568.4111</v>
      </c>
      <c r="D10" s="7">
        <f>B10-$B$42</f>
        <v/>
      </c>
      <c r="E10" s="7">
        <f>C10-$C$42</f>
        <v/>
      </c>
      <c r="F10" s="7">
        <f>D10*E10</f>
        <v/>
      </c>
      <c r="G10" s="7">
        <f>D10^2</f>
        <v/>
      </c>
      <c r="H10" s="7">
        <f>E10^2</f>
        <v/>
      </c>
      <c r="I10" s="7">
        <f>$M$12+$M$11*B10</f>
        <v/>
      </c>
      <c r="K10" s="13" t="inlineStr">
        <is>
          <t>Coeficiente de Determinação (R²)</t>
        </is>
      </c>
      <c r="L10" s="14">
        <f>RQUAD(Y; X)</f>
        <v/>
      </c>
      <c r="M10" s="16">
        <f>RSQ(C6:C41,B6:B41)</f>
        <v/>
      </c>
      <c r="N10" s="16" t="n">
        <v>0.9506896129080893</v>
      </c>
    </row>
    <row r="11">
      <c r="A11" s="11" t="n">
        <v>1995</v>
      </c>
      <c r="B11" s="12" t="n">
        <v>8096.9115</v>
      </c>
      <c r="C11" s="12" t="n">
        <v>1637.2763</v>
      </c>
      <c r="D11" s="12">
        <f>B11-$B$42</f>
        <v/>
      </c>
      <c r="E11" s="12">
        <f>C11-$C$42</f>
        <v/>
      </c>
      <c r="F11" s="12">
        <f>D11*E11</f>
        <v/>
      </c>
      <c r="G11" s="12">
        <f>D11^2</f>
        <v/>
      </c>
      <c r="H11" s="12">
        <f>E11^2</f>
        <v/>
      </c>
      <c r="I11" s="12">
        <f>$M$12+$M$11*B11</f>
        <v/>
      </c>
      <c r="K11" s="8" t="inlineStr">
        <is>
          <t>Inclinação da Reta (Slope b₁)</t>
        </is>
      </c>
      <c r="L11" s="9">
        <f>INCLINAÇÃO(Y; X)</f>
        <v/>
      </c>
      <c r="M11" s="17">
        <f>SLOPE(C6:C41,B6:B41)</f>
        <v/>
      </c>
      <c r="N11" s="17" t="n">
        <v>0.1048572029864625</v>
      </c>
    </row>
    <row r="12">
      <c r="A12" s="6" t="n">
        <v>1996</v>
      </c>
      <c r="B12" s="7" t="n">
        <v>8300.634099999999</v>
      </c>
      <c r="C12" s="7" t="n">
        <v>1691.3197</v>
      </c>
      <c r="D12" s="7">
        <f>B12-$B$42</f>
        <v/>
      </c>
      <c r="E12" s="7">
        <f>C12-$C$42</f>
        <v/>
      </c>
      <c r="F12" s="7">
        <f>D12*E12</f>
        <v/>
      </c>
      <c r="G12" s="7">
        <f>D12^2</f>
        <v/>
      </c>
      <c r="H12" s="7">
        <f>E12^2</f>
        <v/>
      </c>
      <c r="I12" s="7">
        <f>$M$12+$M$11*B12</f>
        <v/>
      </c>
      <c r="K12" s="8" t="inlineStr">
        <is>
          <t>Intercepto da Reta (b₀)</t>
        </is>
      </c>
      <c r="L12" s="9">
        <f>INTERCEPÇÃO(Y; X)</f>
        <v/>
      </c>
      <c r="M12" s="12">
        <f>INTERCEPT(C6:C41,B6:B41)</f>
        <v/>
      </c>
      <c r="N12" s="12" t="n">
        <v>865.1697622027768</v>
      </c>
    </row>
    <row r="13">
      <c r="A13" s="11" t="n">
        <v>1997</v>
      </c>
      <c r="B13" s="12" t="n">
        <v>8601.609</v>
      </c>
      <c r="C13" s="12" t="n">
        <v>1768.1991</v>
      </c>
      <c r="D13" s="12">
        <f>B13-$B$42</f>
        <v/>
      </c>
      <c r="E13" s="12">
        <f>C13-$C$42</f>
        <v/>
      </c>
      <c r="F13" s="12">
        <f>D13*E13</f>
        <v/>
      </c>
      <c r="G13" s="12">
        <f>D13^2</f>
        <v/>
      </c>
      <c r="H13" s="12">
        <f>E13^2</f>
        <v/>
      </c>
      <c r="I13" s="12">
        <f>$M$12+$M$11*B13</f>
        <v/>
      </c>
      <c r="K13" s="8" t="inlineStr">
        <is>
          <t>Média de X (x̄)</t>
        </is>
      </c>
      <c r="L13" s="9">
        <f>MÉDIA(X)</f>
        <v/>
      </c>
      <c r="M13" s="12">
        <f>AVERAGE(B6:B41)</f>
        <v/>
      </c>
      <c r="N13" s="12" t="n">
        <v>12805.73550036448</v>
      </c>
    </row>
    <row r="14">
      <c r="A14" s="6" t="n">
        <v>1998</v>
      </c>
      <c r="B14" s="7" t="n">
        <v>8598.805700000001</v>
      </c>
      <c r="C14" s="7" t="n">
        <v>1815.0309</v>
      </c>
      <c r="D14" s="7">
        <f>B14-$B$42</f>
        <v/>
      </c>
      <c r="E14" s="7">
        <f>C14-$C$42</f>
        <v/>
      </c>
      <c r="F14" s="7">
        <f>D14*E14</f>
        <v/>
      </c>
      <c r="G14" s="7">
        <f>D14^2</f>
        <v/>
      </c>
      <c r="H14" s="7">
        <f>E14^2</f>
        <v/>
      </c>
      <c r="I14" s="7">
        <f>$M$12+$M$11*B14</f>
        <v/>
      </c>
      <c r="K14" s="8" t="inlineStr">
        <is>
          <t>Média de Y (ȳ)</t>
        </is>
      </c>
      <c r="L14" s="9">
        <f>MÉDIA(Y)</f>
        <v/>
      </c>
      <c r="M14" s="12">
        <f>AVERAGE(C6:C41)</f>
        <v/>
      </c>
      <c r="N14" s="12" t="n">
        <v>2207.943368955444</v>
      </c>
    </row>
    <row r="15">
      <c r="A15" s="11" t="n">
        <v>1999</v>
      </c>
      <c r="B15" s="12" t="n">
        <v>8634.6078</v>
      </c>
      <c r="C15" s="12" t="n">
        <v>1839.6071</v>
      </c>
      <c r="D15" s="12">
        <f>B15-$B$42</f>
        <v/>
      </c>
      <c r="E15" s="12">
        <f>C15-$C$42</f>
        <v/>
      </c>
      <c r="F15" s="12">
        <f>D15*E15</f>
        <v/>
      </c>
      <c r="G15" s="12">
        <f>D15^2</f>
        <v/>
      </c>
      <c r="H15" s="12">
        <f>E15^2</f>
        <v/>
      </c>
      <c r="I15" s="12">
        <f>$M$12+$M$11*B15</f>
        <v/>
      </c>
      <c r="K15" s="8" t="inlineStr">
        <is>
          <t>Desvio-Padrão Amostral de X (sₓ)</t>
        </is>
      </c>
      <c r="L15" s="9">
        <f>DESVPAD.A(X)</f>
        <v/>
      </c>
      <c r="M15" s="12">
        <f>STDEV.S(B6:B41)</f>
        <v/>
      </c>
      <c r="N15" s="12" t="n">
        <v>4590.004841167381</v>
      </c>
    </row>
    <row r="16">
      <c r="A16" s="6" t="n">
        <v>2000</v>
      </c>
      <c r="B16" s="7" t="n">
        <v>9091.7685</v>
      </c>
      <c r="C16" s="7" t="n">
        <v>1905.771</v>
      </c>
      <c r="D16" s="7">
        <f>B16-$B$42</f>
        <v/>
      </c>
      <c r="E16" s="7">
        <f>C16-$C$42</f>
        <v/>
      </c>
      <c r="F16" s="7">
        <f>D16*E16</f>
        <v/>
      </c>
      <c r="G16" s="7">
        <f>D16^2</f>
        <v/>
      </c>
      <c r="H16" s="7">
        <f>E16^2</f>
        <v/>
      </c>
      <c r="I16" s="7">
        <f>$M$12+$M$11*B16</f>
        <v/>
      </c>
      <c r="K16" s="8" t="inlineStr">
        <is>
          <t>Desvio-Padrão Amostral de Y (sᵧ)</t>
        </is>
      </c>
      <c r="L16" s="9">
        <f>DESVPAD.A(Y)</f>
        <v/>
      </c>
      <c r="M16" s="12">
        <f>STDEV.S(C6:C41)</f>
        <v/>
      </c>
      <c r="N16" s="12" t="n">
        <v>493.6191934683318</v>
      </c>
    </row>
    <row r="17">
      <c r="A17" s="11" t="n">
        <v>2001</v>
      </c>
      <c r="B17" s="12" t="n">
        <v>9303.6453</v>
      </c>
      <c r="C17" s="12" t="n">
        <v>1756.8116</v>
      </c>
      <c r="D17" s="12">
        <f>B17-$B$42</f>
        <v/>
      </c>
      <c r="E17" s="12">
        <f>C17-$C$42</f>
        <v/>
      </c>
      <c r="F17" s="12">
        <f>D17*E17</f>
        <v/>
      </c>
      <c r="G17" s="12">
        <f>D17^2</f>
        <v/>
      </c>
      <c r="H17" s="12">
        <f>E17^2</f>
        <v/>
      </c>
      <c r="I17" s="12">
        <f>$M$12+$M$11*B17</f>
        <v/>
      </c>
      <c r="K17" s="8" t="inlineStr">
        <is>
          <t>Estatística t de Student</t>
        </is>
      </c>
      <c r="L17" s="9" t="inlineStr">
        <is>
          <t>r·√(n-2)/√(1-r²)</t>
        </is>
      </c>
      <c r="M17" s="18">
        <f>M7*SQRT((M6-2)/(1-M7^2))</f>
        <v/>
      </c>
      <c r="N17" s="18" t="n">
        <v>25.60292753818538</v>
      </c>
    </row>
    <row r="18">
      <c r="A18" s="6" t="n">
        <v>2002</v>
      </c>
      <c r="B18" s="7" t="n">
        <v>9616.5949</v>
      </c>
      <c r="C18" s="7" t="n">
        <v>1817.1354</v>
      </c>
      <c r="D18" s="7">
        <f>B18-$B$42</f>
        <v/>
      </c>
      <c r="E18" s="7">
        <f>C18-$C$42</f>
        <v/>
      </c>
      <c r="F18" s="7">
        <f>D18*E18</f>
        <v/>
      </c>
      <c r="G18" s="7">
        <f>D18^2</f>
        <v/>
      </c>
      <c r="H18" s="7">
        <f>E18^2</f>
        <v/>
      </c>
      <c r="I18" s="7">
        <f>$M$12+$M$11*B18</f>
        <v/>
      </c>
      <c r="K18" s="8" t="inlineStr">
        <is>
          <t>Valor-p (Significância bilateral)</t>
        </is>
      </c>
      <c r="L18" s="9" t="inlineStr">
        <is>
          <t>Teste t / SciPy</t>
        </is>
      </c>
      <c r="M18" s="19" t="n">
        <v>8.381422304675529e-24</v>
      </c>
      <c r="N18" s="19" t="n">
        <v>8.381422304675529e-24</v>
      </c>
    </row>
    <row r="19">
      <c r="A19" s="11" t="n">
        <v>2003</v>
      </c>
      <c r="B19" s="12" t="n">
        <v>9801.962100000001</v>
      </c>
      <c r="C19" s="12" t="n">
        <v>1894.6291</v>
      </c>
      <c r="D19" s="12">
        <f>B19-$B$42</f>
        <v/>
      </c>
      <c r="E19" s="12">
        <f>C19-$C$42</f>
        <v/>
      </c>
      <c r="F19" s="12">
        <f>D19*E19</f>
        <v/>
      </c>
      <c r="G19" s="12">
        <f>D19^2</f>
        <v/>
      </c>
      <c r="H19" s="12">
        <f>E19^2</f>
        <v/>
      </c>
      <c r="I19" s="12">
        <f>$M$12+$M$11*B19</f>
        <v/>
      </c>
    </row>
    <row r="20">
      <c r="A20" s="6" t="n">
        <v>2004</v>
      </c>
      <c r="B20" s="7" t="n">
        <v>10525.7114</v>
      </c>
      <c r="C20" s="7" t="n">
        <v>1970.4159</v>
      </c>
      <c r="D20" s="7">
        <f>B20-$B$42</f>
        <v/>
      </c>
      <c r="E20" s="7">
        <f>C20-$C$42</f>
        <v/>
      </c>
      <c r="F20" s="7">
        <f>D20*E20</f>
        <v/>
      </c>
      <c r="G20" s="7">
        <f>D20^2</f>
        <v/>
      </c>
      <c r="H20" s="7">
        <f>E20^2</f>
        <v/>
      </c>
      <c r="I20" s="7">
        <f>$M$12+$M$11*B20</f>
        <v/>
      </c>
      <c r="K20" s="20" t="inlineStr">
        <is>
          <t>PROJEÇÃO DE CENÁRIOS FUTUROS (REGRESSÃO LINEAR NO EXCEL)</t>
        </is>
      </c>
    </row>
    <row r="21">
      <c r="A21" s="11" t="n">
        <v>2005</v>
      </c>
      <c r="B21" s="12" t="n">
        <v>11081.2475</v>
      </c>
      <c r="C21" s="12" t="n">
        <v>2031.5061</v>
      </c>
      <c r="D21" s="12">
        <f>B21-$B$42</f>
        <v/>
      </c>
      <c r="E21" s="12">
        <f>C21-$C$42</f>
        <v/>
      </c>
      <c r="F21" s="12">
        <f>D21*E21</f>
        <v/>
      </c>
      <c r="G21" s="12">
        <f>D21^2</f>
        <v/>
      </c>
      <c r="H21" s="12">
        <f>E21^2</f>
        <v/>
      </c>
      <c r="I21" s="12">
        <f>$M$12+$M$11*B21</f>
        <v/>
      </c>
      <c r="K21" s="21" t="inlineStr">
        <is>
          <t>Cenário Projetado</t>
        </is>
      </c>
      <c r="L21" s="21" t="inlineStr">
        <is>
          <t>Valor de X (US$ PPP)</t>
        </is>
      </c>
      <c r="M21" s="21" t="inlineStr">
        <is>
          <t>Ŷ via Fórmula Excel</t>
        </is>
      </c>
      <c r="N21" s="21" t="inlineStr">
        <is>
          <t>Ŷ Esperado (kWh/hab)</t>
        </is>
      </c>
    </row>
    <row r="22">
      <c r="A22" s="6" t="n">
        <v>2006</v>
      </c>
      <c r="B22" s="7" t="n">
        <v>11750.5312</v>
      </c>
      <c r="C22" s="7" t="n">
        <v>2089.175</v>
      </c>
      <c r="D22" s="7">
        <f>B22-$B$42</f>
        <v/>
      </c>
      <c r="E22" s="7">
        <f>C22-$C$42</f>
        <v/>
      </c>
      <c r="F22" s="7">
        <f>D22*E22</f>
        <v/>
      </c>
      <c r="G22" s="7">
        <f>D22^2</f>
        <v/>
      </c>
      <c r="H22" s="7">
        <f>E22^2</f>
        <v/>
      </c>
      <c r="I22" s="7">
        <f>$M$12+$M$11*B22</f>
        <v/>
      </c>
      <c r="K22" s="22" t="inlineStr">
        <is>
          <t>Cenário 1: PIB per capita = US$ 25.000 PPP</t>
        </is>
      </c>
      <c r="L22" s="7" t="n">
        <v>25000</v>
      </c>
      <c r="M22" s="7">
        <f>$M$12+$M$11*L22</f>
        <v/>
      </c>
      <c r="N22" s="7" t="n">
        <v>3486.6</v>
      </c>
    </row>
    <row r="23">
      <c r="A23" s="11" t="n">
        <v>2007</v>
      </c>
      <c r="B23" s="12" t="n">
        <v>12672.5051</v>
      </c>
      <c r="C23" s="12" t="n">
        <v>2185.7488</v>
      </c>
      <c r="D23" s="12">
        <f>B23-$B$42</f>
        <v/>
      </c>
      <c r="E23" s="12">
        <f>C23-$C$42</f>
        <v/>
      </c>
      <c r="F23" s="12">
        <f>D23*E23</f>
        <v/>
      </c>
      <c r="G23" s="12">
        <f>D23^2</f>
        <v/>
      </c>
      <c r="H23" s="12">
        <f>E23^2</f>
        <v/>
      </c>
      <c r="I23" s="12">
        <f>$M$12+$M$11*B23</f>
        <v/>
      </c>
      <c r="K23" s="22" t="inlineStr">
        <is>
          <t>Cenário 2: PIB per capita = US$ 28.000 PPP</t>
        </is>
      </c>
      <c r="L23" s="7" t="n">
        <v>28000</v>
      </c>
      <c r="M23" s="7">
        <f>$M$12+$M$11*L23</f>
        <v/>
      </c>
      <c r="N23" s="7" t="n">
        <v>3801.17</v>
      </c>
    </row>
    <row r="24">
      <c r="A24" s="6" t="n">
        <v>2008</v>
      </c>
      <c r="B24" s="7" t="n">
        <v>13445.2455</v>
      </c>
      <c r="C24" s="7" t="n">
        <v>2249.3254</v>
      </c>
      <c r="D24" s="7">
        <f>B24-$B$42</f>
        <v/>
      </c>
      <c r="E24" s="7">
        <f>C24-$C$42</f>
        <v/>
      </c>
      <c r="F24" s="7">
        <f>D24*E24</f>
        <v/>
      </c>
      <c r="G24" s="7">
        <f>D24^2</f>
        <v/>
      </c>
      <c r="H24" s="7">
        <f>E24^2</f>
        <v/>
      </c>
      <c r="I24" s="7">
        <f>$M$12+$M$11*B24</f>
        <v/>
      </c>
      <c r="K24" s="22" t="inlineStr">
        <is>
          <t>Cenário 3: PIB per capita = US$ 30.000 PPP</t>
        </is>
      </c>
      <c r="L24" s="7" t="n">
        <v>30000</v>
      </c>
      <c r="M24" s="7">
        <f>$M$12+$M$11*L24</f>
        <v/>
      </c>
      <c r="N24" s="7" t="n">
        <v>4010.89</v>
      </c>
    </row>
    <row r="25">
      <c r="A25" s="11" t="n">
        <v>2009</v>
      </c>
      <c r="B25" s="12" t="n">
        <v>13390.6831</v>
      </c>
      <c r="C25" s="12" t="n">
        <v>2217.79</v>
      </c>
      <c r="D25" s="12">
        <f>B25-$B$42</f>
        <v/>
      </c>
      <c r="E25" s="12">
        <f>C25-$C$42</f>
        <v/>
      </c>
      <c r="F25" s="12">
        <f>D25*E25</f>
        <v/>
      </c>
      <c r="G25" s="12">
        <f>D25^2</f>
        <v/>
      </c>
      <c r="H25" s="12">
        <f>E25^2</f>
        <v/>
      </c>
      <c r="I25" s="12">
        <f>$M$12+$M$11*B25</f>
        <v/>
      </c>
    </row>
    <row r="26">
      <c r="A26" s="6" t="n">
        <v>2010</v>
      </c>
      <c r="B26" s="7" t="n">
        <v>14451.7158</v>
      </c>
      <c r="C26" s="7" t="n">
        <v>2398.608</v>
      </c>
      <c r="D26" s="7">
        <f>B26-$B$42</f>
        <v/>
      </c>
      <c r="E26" s="7">
        <f>C26-$C$42</f>
        <v/>
      </c>
      <c r="F26" s="7">
        <f>D26*E26</f>
        <v/>
      </c>
      <c r="G26" s="7">
        <f>D26^2</f>
        <v/>
      </c>
      <c r="H26" s="7">
        <f>E26^2</f>
        <v/>
      </c>
      <c r="I26" s="7">
        <f>$M$12+$M$11*B26</f>
        <v/>
      </c>
    </row>
    <row r="27">
      <c r="A27" s="11" t="n">
        <v>2011</v>
      </c>
      <c r="B27" s="12" t="n">
        <v>15211.792</v>
      </c>
      <c r="C27" s="12" t="n">
        <v>2458.5588</v>
      </c>
      <c r="D27" s="12">
        <f>B27-$B$42</f>
        <v/>
      </c>
      <c r="E27" s="12">
        <f>C27-$C$42</f>
        <v/>
      </c>
      <c r="F27" s="12">
        <f>D27*E27</f>
        <v/>
      </c>
      <c r="G27" s="12">
        <f>D27^2</f>
        <v/>
      </c>
      <c r="H27" s="12">
        <f>E27^2</f>
        <v/>
      </c>
      <c r="I27" s="12">
        <f>$M$12+$M$11*B27</f>
        <v/>
      </c>
    </row>
    <row r="28">
      <c r="A28" s="6" t="n">
        <v>2012</v>
      </c>
      <c r="B28" s="7" t="n">
        <v>15198.0863</v>
      </c>
      <c r="C28" s="7" t="n">
        <v>2530.9775</v>
      </c>
      <c r="D28" s="7">
        <f>B28-$B$42</f>
        <v/>
      </c>
      <c r="E28" s="7">
        <f>C28-$C$42</f>
        <v/>
      </c>
      <c r="F28" s="7">
        <f>D28*E28</f>
        <v/>
      </c>
      <c r="G28" s="7">
        <f>D28^2</f>
        <v/>
      </c>
      <c r="H28" s="7">
        <f>E28^2</f>
        <v/>
      </c>
      <c r="I28" s="7">
        <f>$M$12+$M$11*B28</f>
        <v/>
      </c>
    </row>
    <row r="29">
      <c r="A29" s="11" t="n">
        <v>2013</v>
      </c>
      <c r="B29" s="12" t="n">
        <v>15722.3335</v>
      </c>
      <c r="C29" s="12" t="n">
        <v>2600.6722</v>
      </c>
      <c r="D29" s="12">
        <f>B29-$B$42</f>
        <v/>
      </c>
      <c r="E29" s="12">
        <f>C29-$C$42</f>
        <v/>
      </c>
      <c r="F29" s="12">
        <f>D29*E29</f>
        <v/>
      </c>
      <c r="G29" s="12">
        <f>D29^2</f>
        <v/>
      </c>
      <c r="H29" s="12">
        <f>E29^2</f>
        <v/>
      </c>
      <c r="I29" s="12">
        <f>$M$12+$M$11*B29</f>
        <v/>
      </c>
    </row>
    <row r="30">
      <c r="A30" s="6" t="n">
        <v>2014</v>
      </c>
      <c r="B30" s="7" t="n">
        <v>15827.3082</v>
      </c>
      <c r="C30" s="7" t="n">
        <v>2690.215</v>
      </c>
      <c r="D30" s="7">
        <f>B30-$B$42</f>
        <v/>
      </c>
      <c r="E30" s="7">
        <f>C30-$C$42</f>
        <v/>
      </c>
      <c r="F30" s="7">
        <f>D30*E30</f>
        <v/>
      </c>
      <c r="G30" s="7">
        <f>D30^2</f>
        <v/>
      </c>
      <c r="H30" s="7">
        <f>E30^2</f>
        <v/>
      </c>
      <c r="I30" s="7">
        <f>$M$12+$M$11*B30</f>
        <v/>
      </c>
    </row>
    <row r="31">
      <c r="A31" s="11" t="n">
        <v>2015</v>
      </c>
      <c r="B31" s="12" t="n">
        <v>14821.4383</v>
      </c>
      <c r="C31" s="12" t="n">
        <v>2628.0977</v>
      </c>
      <c r="D31" s="12">
        <f>B31-$B$42</f>
        <v/>
      </c>
      <c r="E31" s="12">
        <f>C31-$C$42</f>
        <v/>
      </c>
      <c r="F31" s="12">
        <f>D31*E31</f>
        <v/>
      </c>
      <c r="G31" s="12">
        <f>D31^2</f>
        <v/>
      </c>
      <c r="H31" s="12">
        <f>E31^2</f>
        <v/>
      </c>
      <c r="I31" s="12">
        <f>$M$12+$M$11*B31</f>
        <v/>
      </c>
    </row>
    <row r="32">
      <c r="A32" s="6" t="n">
        <v>2016</v>
      </c>
      <c r="B32" s="7" t="n">
        <v>14309.2061</v>
      </c>
      <c r="C32" s="7" t="n">
        <v>2592.6134</v>
      </c>
      <c r="D32" s="7">
        <f>B32-$B$42</f>
        <v/>
      </c>
      <c r="E32" s="7">
        <f>C32-$C$42</f>
        <v/>
      </c>
      <c r="F32" s="7">
        <f>D32*E32</f>
        <v/>
      </c>
      <c r="G32" s="7">
        <f>D32^2</f>
        <v/>
      </c>
      <c r="H32" s="7">
        <f>E32^2</f>
        <v/>
      </c>
      <c r="I32" s="7">
        <f>$M$12+$M$11*B32</f>
        <v/>
      </c>
    </row>
    <row r="33">
      <c r="A33" s="11" t="n">
        <v>2017</v>
      </c>
      <c r="B33" s="12" t="n">
        <v>14559.0489</v>
      </c>
      <c r="C33" s="12" t="n">
        <v>2610.1661</v>
      </c>
      <c r="D33" s="12">
        <f>B33-$B$42</f>
        <v/>
      </c>
      <c r="E33" s="12">
        <f>C33-$C$42</f>
        <v/>
      </c>
      <c r="F33" s="12">
        <f>D33*E33</f>
        <v/>
      </c>
      <c r="G33" s="12">
        <f>D33^2</f>
        <v/>
      </c>
      <c r="H33" s="12">
        <f>E33^2</f>
        <v/>
      </c>
      <c r="I33" s="12">
        <f>$M$12+$M$11*B33</f>
        <v/>
      </c>
    </row>
    <row r="34">
      <c r="A34" s="6" t="n">
        <v>2018</v>
      </c>
      <c r="B34" s="7" t="n">
        <v>15463.7426</v>
      </c>
      <c r="C34" s="7" t="n">
        <v>2640.4164</v>
      </c>
      <c r="D34" s="7">
        <f>B34-$B$42</f>
        <v/>
      </c>
      <c r="E34" s="7">
        <f>C34-$C$42</f>
        <v/>
      </c>
      <c r="F34" s="7">
        <f>D34*E34</f>
        <v/>
      </c>
      <c r="G34" s="7">
        <f>D34^2</f>
        <v/>
      </c>
      <c r="H34" s="7">
        <f>E34^2</f>
        <v/>
      </c>
      <c r="I34" s="7">
        <f>$M$12+$M$11*B34</f>
        <v/>
      </c>
    </row>
    <row r="35">
      <c r="A35" s="11" t="n">
        <v>2019</v>
      </c>
      <c r="B35" s="12" t="n">
        <v>16069.838</v>
      </c>
      <c r="C35" s="12" t="n">
        <v>2661.1833</v>
      </c>
      <c r="D35" s="12">
        <f>B35-$B$42</f>
        <v/>
      </c>
      <c r="E35" s="12">
        <f>C35-$C$42</f>
        <v/>
      </c>
      <c r="F35" s="12">
        <f>D35*E35</f>
        <v/>
      </c>
      <c r="G35" s="12">
        <f>D35^2</f>
        <v/>
      </c>
      <c r="H35" s="12">
        <f>E35^2</f>
        <v/>
      </c>
      <c r="I35" s="12">
        <f>$M$12+$M$11*B35</f>
        <v/>
      </c>
    </row>
    <row r="36">
      <c r="A36" s="6" t="n">
        <v>2020</v>
      </c>
      <c r="B36" s="7" t="n">
        <v>16101.6183</v>
      </c>
      <c r="C36" s="7" t="n">
        <v>2624.9103</v>
      </c>
      <c r="D36" s="7">
        <f>B36-$B$42</f>
        <v/>
      </c>
      <c r="E36" s="7">
        <f>C36-$C$42</f>
        <v/>
      </c>
      <c r="F36" s="7">
        <f>D36*E36</f>
        <v/>
      </c>
      <c r="G36" s="7">
        <f>D36^2</f>
        <v/>
      </c>
      <c r="H36" s="7">
        <f>E36^2</f>
        <v/>
      </c>
      <c r="I36" s="7">
        <f>$M$12+$M$11*B36</f>
        <v/>
      </c>
    </row>
    <row r="37">
      <c r="A37" s="11" t="n">
        <v>2021</v>
      </c>
      <c r="B37" s="12" t="n">
        <v>18075.706</v>
      </c>
      <c r="C37" s="12" t="n">
        <v>2723.9666</v>
      </c>
      <c r="D37" s="12">
        <f>B37-$B$42</f>
        <v/>
      </c>
      <c r="E37" s="12">
        <f>C37-$C$42</f>
        <v/>
      </c>
      <c r="F37" s="12">
        <f>D37*E37</f>
        <v/>
      </c>
      <c r="G37" s="12">
        <f>D37^2</f>
        <v/>
      </c>
      <c r="H37" s="12">
        <f>E37^2</f>
        <v/>
      </c>
      <c r="I37" s="12">
        <f>$M$12+$M$11*B37</f>
        <v/>
      </c>
    </row>
    <row r="38">
      <c r="A38" s="6" t="n">
        <v>2022</v>
      </c>
      <c r="B38" s="7" t="n">
        <v>19873.7033</v>
      </c>
      <c r="C38" s="7" t="n">
        <v>2787.7609</v>
      </c>
      <c r="D38" s="7">
        <f>B38-$B$42</f>
        <v/>
      </c>
      <c r="E38" s="7">
        <f>C38-$C$42</f>
        <v/>
      </c>
      <c r="F38" s="7">
        <f>D38*E38</f>
        <v/>
      </c>
      <c r="G38" s="7">
        <f>D38^2</f>
        <v/>
      </c>
      <c r="H38" s="7">
        <f>E38^2</f>
        <v/>
      </c>
      <c r="I38" s="7">
        <f>$M$12+$M$11*B38</f>
        <v/>
      </c>
    </row>
    <row r="39">
      <c r="A39" s="11" t="n">
        <v>2023</v>
      </c>
      <c r="B39" s="12" t="n">
        <v>21193.0721</v>
      </c>
      <c r="C39" s="12" t="n">
        <v>2916.4861</v>
      </c>
      <c r="D39" s="12">
        <f>B39-$B$42</f>
        <v/>
      </c>
      <c r="E39" s="12">
        <f>C39-$C$42</f>
        <v/>
      </c>
      <c r="F39" s="12">
        <f>D39*E39</f>
        <v/>
      </c>
      <c r="G39" s="12">
        <f>D39^2</f>
        <v/>
      </c>
      <c r="H39" s="12">
        <f>E39^2</f>
        <v/>
      </c>
      <c r="I39" s="12">
        <f>$M$12+$M$11*B39</f>
        <v/>
      </c>
    </row>
    <row r="40">
      <c r="A40" s="6" t="n">
        <v>2024</v>
      </c>
      <c r="B40" s="7" t="n">
        <v>22370.9182</v>
      </c>
      <c r="C40" s="7" t="n">
        <v>3068.0961</v>
      </c>
      <c r="D40" s="7">
        <f>B40-$B$42</f>
        <v/>
      </c>
      <c r="E40" s="7">
        <f>C40-$C$42</f>
        <v/>
      </c>
      <c r="F40" s="7">
        <f>D40*E40</f>
        <v/>
      </c>
      <c r="G40" s="7">
        <f>D40^2</f>
        <v/>
      </c>
      <c r="H40" s="7">
        <f>E40^2</f>
        <v/>
      </c>
      <c r="I40" s="7">
        <f>$M$12+$M$11*B40</f>
        <v/>
      </c>
    </row>
    <row r="41">
      <c r="A41" s="11" t="n">
        <v>2025</v>
      </c>
      <c r="B41" s="12" t="n">
        <v>23433.2898</v>
      </c>
      <c r="C41" s="12" t="n">
        <v>3138.177</v>
      </c>
      <c r="D41" s="12">
        <f>B41-$B$42</f>
        <v/>
      </c>
      <c r="E41" s="12">
        <f>C41-$C$42</f>
        <v/>
      </c>
      <c r="F41" s="12">
        <f>D41*E41</f>
        <v/>
      </c>
      <c r="G41" s="12">
        <f>D41^2</f>
        <v/>
      </c>
      <c r="H41" s="12">
        <f>E41^2</f>
        <v/>
      </c>
      <c r="I41" s="12">
        <f>$M$12+$M$11*B41</f>
        <v/>
      </c>
    </row>
    <row r="42">
      <c r="A42" s="23" t="inlineStr">
        <is>
          <t>MÉDIA / SOMA</t>
        </is>
      </c>
      <c r="B42" s="24">
        <f>AVERAGE(B6:B41)</f>
        <v/>
      </c>
      <c r="C42" s="24">
        <f>AVERAGE(C6:C41)</f>
        <v/>
      </c>
      <c r="D42" s="25">
        <f>SUM(D6:D41)</f>
        <v/>
      </c>
      <c r="E42" s="25">
        <f>SUM(E6:E41)</f>
        <v/>
      </c>
      <c r="F42" s="24">
        <f>SUM(F6:F41)</f>
        <v/>
      </c>
      <c r="G42" s="24">
        <f>SUM(G6:G41)</f>
        <v/>
      </c>
      <c r="H42" s="24">
        <f>SUM(H6:H41)</f>
        <v/>
      </c>
      <c r="I42" s="24">
        <f>AVERAGE(I6:I41)</f>
        <v/>
      </c>
    </row>
    <row r="45">
      <c r="A45" s="26" t="inlineStr">
        <is>
          <t>CONCLUSÃO TÉCNICA SOBRE A ANÁLISE DE CORRELAÇÃO DE PEARSON E REGRESSÃO</t>
        </is>
      </c>
    </row>
    <row r="46">
      <c r="A46" s="27" t="inlineStr">
        <is>
          <t>1. FORÇA E DIREÇÃO DA CORRELAÇÃO: O coeficiente de correlação linear de Pearson obtido entre o PIB per capita PPP (X) e o Consumo de Energia Elétrica per capita (Y) no Brasil (1990–2025, n = 36 anos) é r = 0.9750 (IC 95%: [0.9512; 0.9873]). Segundo a classificação estatística, valores de |r| &gt; 0,90 indicam uma CORRELAÇÃO LINEAR POSITIVA MUITO FORTE.
2. SIGNIFICÂNCIA ESTATÍSTICA E PODER EXPLICATIVO: O teste t de Student resultou em t = 25.60 com p-valor = 8.38e-24 (altamente significativo, p &lt; 0,0001), rejeitando-se a hipótese nula de ausência de correlação (H₀: ρ = 0). O coeficiente de determinação R² = 0.9507 comprova que 95.07% da variação no consumo elétrico per capita brasileiro nas últimas três décadas e meia é explicada linearmente pela evolução da renda per capita em paridade de poder de compra.
3. INTERPRETAÇÃO ECONÔMICA E PROJEÇÃO: A inclinação da reta (b₁ = 0.1049) demonstra que, a cada aumento de US$ 1.000 no PIB per capita PPP, o consumo médio de eletricidade no Brasil cresce cerca de 104.9 kWh por habitante/ano. Projetando-se o crescimento da renda brasileira para US$ 25.000 e US$ 30.000 PPP, estima-se que a demanda elétrica atingirá 3487 kWh/hab e 4011 kWh/hab, exigindo expansão proporcional da capacidade instalada de geração e transmissão.</t>
        </is>
      </c>
    </row>
    <row r="47"/>
    <row r="48"/>
    <row r="49"/>
    <row r="50"/>
    <row r="51"/>
    <row r="52"/>
    <row r="53"/>
  </sheetData>
  <mergeCells count="6">
    <mergeCell ref="A46:I53"/>
    <mergeCell ref="A2:I3"/>
    <mergeCell ref="A1:I1"/>
    <mergeCell ref="A45:I45"/>
    <mergeCell ref="K20:N20"/>
    <mergeCell ref="K5:N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2" customWidth="1" min="6" max="6"/>
    <col width="20" customWidth="1" min="7" max="7"/>
    <col width="20" customWidth="1" min="8" max="8"/>
    <col width="20" customWidth="1" min="9" max="9"/>
    <col width="3" customWidth="1" min="10" max="10"/>
    <col width="38" customWidth="1" min="11" max="11"/>
    <col width="22" customWidth="1" min="12" max="12"/>
    <col width="20" customWidth="1" min="13" max="13"/>
    <col width="18" customWidth="1" min="14" max="14"/>
  </cols>
  <sheetData>
    <row r="1" ht="28" customHeight="1">
      <c r="A1" s="1" t="inlineStr">
        <is>
          <t>ANÁLISE 2 (CURVA DE PRESTON): PIB PER CAPITA (PPP) × EXPECTATIVA DE VIDA NO BRASIL (1990–2024)</t>
        </is>
      </c>
    </row>
    <row r="2" ht="22" customHeight="1">
      <c r="A2" s="2" t="inlineStr">
        <is>
          <t>LITERATURA / REFERÊNCIA OFICIAL DOS DADOS E DO DIAGRAMA DE DISPERSÃO:
• Base Oficial: WORLD BANK. World Development Indicators (WDI) — Brazil (BRA). Indicadores: NY.GDP.PCAP.PP.CD e SP.DYN.LE00.IN.
• Literatura Científica do Diagrama: PRESTON, Samuel H. The Changing Relation between Mortality and Level of Economic Development. Population Studies, v. 29, n. 2, p. 231-248, 1975.</t>
        </is>
      </c>
    </row>
    <row r="3" ht="22" customHeight="1"/>
    <row r="4">
      <c r="K4" s="3" t="inlineStr">
        <is>
          <t>Indicador Estatístico</t>
        </is>
      </c>
      <c r="L4" s="3" t="inlineStr">
        <is>
          <t>Equivalente PT-BR</t>
        </is>
      </c>
      <c r="M4" s="3" t="inlineStr">
        <is>
          <t>Fórmula Ativa (Excel)</t>
        </is>
      </c>
      <c r="N4" s="3" t="inlineStr">
        <is>
          <t>Valor Calculado</t>
        </is>
      </c>
    </row>
    <row r="5" ht="30" customHeight="1">
      <c r="A5" s="4" t="inlineStr">
        <is>
          <t>Ano</t>
        </is>
      </c>
      <c r="B5" s="4" t="inlineStr">
        <is>
          <t>Variável X:
PIB per capita PPP</t>
        </is>
      </c>
      <c r="C5" s="4" t="inlineStr">
        <is>
          <t>Variável Y:
Expectativa de Vida</t>
        </is>
      </c>
      <c r="D5" s="4" t="inlineStr">
        <is>
          <t>Desvio em X
(xi - x̄)</t>
        </is>
      </c>
      <c r="E5" s="4" t="inlineStr">
        <is>
          <t>Desvio em Y
(yi - ȳ)</t>
        </is>
      </c>
      <c r="F5" s="4" t="inlineStr">
        <is>
          <t>Produto dos Desvios
(xi - x̄)·(yi - ȳ)</t>
        </is>
      </c>
      <c r="G5" s="4" t="inlineStr">
        <is>
          <t>Quadrado Desvio X
(xi - x̄)²</t>
        </is>
      </c>
      <c r="H5" s="4" t="inlineStr">
        <is>
          <t>Quadrado Desvio Y
(yi - ȳ)²</t>
        </is>
      </c>
      <c r="I5" s="4" t="inlineStr">
        <is>
          <t>Projeção Linear (Ŷ)
Anos</t>
        </is>
      </c>
      <c r="K5" s="5" t="inlineStr">
        <is>
          <t>QUADRO ESTATÍSTICO — CORRELAÇÃO DE PEARSON E REGRESSÃO NO EXCEL</t>
        </is>
      </c>
    </row>
    <row r="6">
      <c r="A6" s="6" t="n">
        <v>1990</v>
      </c>
      <c r="B6" s="7" t="n">
        <v>6687.9229</v>
      </c>
      <c r="C6" s="7" t="n">
        <v>65.86199999999999</v>
      </c>
      <c r="D6" s="7">
        <f>B6-$B$41</f>
        <v/>
      </c>
      <c r="E6" s="7">
        <f>C6-$C$41</f>
        <v/>
      </c>
      <c r="F6" s="7">
        <f>D6*E6</f>
        <v/>
      </c>
      <c r="G6" s="7">
        <f>D6^2</f>
        <v/>
      </c>
      <c r="H6" s="7">
        <f>E6^2</f>
        <v/>
      </c>
      <c r="I6" s="7">
        <f>$M$12+$M$11*B6</f>
        <v/>
      </c>
      <c r="K6" s="8" t="inlineStr">
        <is>
          <t>Número de Observações (n)</t>
        </is>
      </c>
      <c r="L6" s="9">
        <f>CONT.NÚM()</f>
        <v/>
      </c>
      <c r="M6" s="10">
        <f>COUNT(B6:B40)</f>
        <v/>
      </c>
      <c r="N6" s="10" t="n">
        <v>35</v>
      </c>
    </row>
    <row r="7">
      <c r="A7" s="11" t="n">
        <v>1991</v>
      </c>
      <c r="B7" s="12" t="n">
        <v>6866.6304</v>
      </c>
      <c r="C7" s="12" t="n">
        <v>66.203</v>
      </c>
      <c r="D7" s="12">
        <f>B7-$B$41</f>
        <v/>
      </c>
      <c r="E7" s="12">
        <f>C7-$C$41</f>
        <v/>
      </c>
      <c r="F7" s="12">
        <f>D7*E7</f>
        <v/>
      </c>
      <c r="G7" s="12">
        <f>D7^2</f>
        <v/>
      </c>
      <c r="H7" s="12">
        <f>E7^2</f>
        <v/>
      </c>
      <c r="I7" s="12">
        <f>$M$12+$M$11*B7</f>
        <v/>
      </c>
      <c r="K7" s="13" t="inlineStr">
        <is>
          <t>Coeficiente de Pearson (Função CORREL)</t>
        </is>
      </c>
      <c r="L7" s="14">
        <f>CORREL(X; Y)</f>
        <v/>
      </c>
      <c r="M7" s="15">
        <f>CORREL(B6:B40,C6:C40)</f>
        <v/>
      </c>
      <c r="N7" s="15" t="n">
        <v>0.9121085104211112</v>
      </c>
    </row>
    <row r="8">
      <c r="A8" s="6" t="n">
        <v>1992</v>
      </c>
      <c r="B8" s="7" t="n">
        <v>6869.41</v>
      </c>
      <c r="C8" s="7" t="n">
        <v>66.539</v>
      </c>
      <c r="D8" s="7">
        <f>B8-$B$41</f>
        <v/>
      </c>
      <c r="E8" s="7">
        <f>C8-$C$41</f>
        <v/>
      </c>
      <c r="F8" s="7">
        <f>D8*E8</f>
        <v/>
      </c>
      <c r="G8" s="7">
        <f>D8^2</f>
        <v/>
      </c>
      <c r="H8" s="7">
        <f>E8^2</f>
        <v/>
      </c>
      <c r="I8" s="7">
        <f>$M$12+$M$11*B8</f>
        <v/>
      </c>
      <c r="K8" s="13" t="inlineStr">
        <is>
          <t>Coeficiente de Pearson (Função PEARSON)</t>
        </is>
      </c>
      <c r="L8" s="14">
        <f>PEARSON(X; Y)</f>
        <v/>
      </c>
      <c r="M8" s="15">
        <f>PEARSON(B6:B40,C6:C40)</f>
        <v/>
      </c>
      <c r="N8" s="15" t="n">
        <v>0.9121085104211112</v>
      </c>
    </row>
    <row r="9">
      <c r="A9" s="11" t="n">
        <v>1993</v>
      </c>
      <c r="B9" s="12" t="n">
        <v>7259.9889</v>
      </c>
      <c r="C9" s="12" t="n">
        <v>66.892</v>
      </c>
      <c r="D9" s="12">
        <f>B9-$B$41</f>
        <v/>
      </c>
      <c r="E9" s="12">
        <f>C9-$C$41</f>
        <v/>
      </c>
      <c r="F9" s="12">
        <f>D9*E9</f>
        <v/>
      </c>
      <c r="G9" s="12">
        <f>D9^2</f>
        <v/>
      </c>
      <c r="H9" s="12">
        <f>E9^2</f>
        <v/>
      </c>
      <c r="I9" s="12">
        <f>$M$12+$M$11*B9</f>
        <v/>
      </c>
      <c r="K9" s="13" t="inlineStr">
        <is>
          <t>Pearson pela Fórmula Algébrica (Somas)</t>
        </is>
      </c>
      <c r="L9" s="14" t="inlineStr">
        <is>
          <t>Σ(dx·dy)/√[Σdx²·Σdy²]</t>
        </is>
      </c>
      <c r="M9" s="15">
        <f>F41/SQRT(G41*H41)</f>
        <v/>
      </c>
      <c r="N9" s="15" t="n">
        <v>0.9121085104211111</v>
      </c>
    </row>
    <row r="10">
      <c r="A10" s="6" t="n">
        <v>1994</v>
      </c>
      <c r="B10" s="7" t="n">
        <v>7727.2454</v>
      </c>
      <c r="C10" s="7" t="n">
        <v>67.29300000000001</v>
      </c>
      <c r="D10" s="7">
        <f>B10-$B$41</f>
        <v/>
      </c>
      <c r="E10" s="7">
        <f>C10-$C$41</f>
        <v/>
      </c>
      <c r="F10" s="7">
        <f>D10*E10</f>
        <v/>
      </c>
      <c r="G10" s="7">
        <f>D10^2</f>
        <v/>
      </c>
      <c r="H10" s="7">
        <f>E10^2</f>
        <v/>
      </c>
      <c r="I10" s="7">
        <f>$M$12+$M$11*B10</f>
        <v/>
      </c>
      <c r="K10" s="13" t="inlineStr">
        <is>
          <t>Coeficiente de Determinação (R²)</t>
        </is>
      </c>
      <c r="L10" s="14">
        <f>RQUAD(Y; X)</f>
        <v/>
      </c>
      <c r="M10" s="16">
        <f>RSQ(C6:C40,B6:B40)</f>
        <v/>
      </c>
      <c r="N10" s="16" t="n">
        <v>0.8319419347826182</v>
      </c>
    </row>
    <row r="11">
      <c r="A11" s="11" t="n">
        <v>1995</v>
      </c>
      <c r="B11" s="12" t="n">
        <v>8096.9115</v>
      </c>
      <c r="C11" s="12" t="n">
        <v>67.70099999999999</v>
      </c>
      <c r="D11" s="12">
        <f>B11-$B$41</f>
        <v/>
      </c>
      <c r="E11" s="12">
        <f>C11-$C$41</f>
        <v/>
      </c>
      <c r="F11" s="12">
        <f>D11*E11</f>
        <v/>
      </c>
      <c r="G11" s="12">
        <f>D11^2</f>
        <v/>
      </c>
      <c r="H11" s="12">
        <f>E11^2</f>
        <v/>
      </c>
      <c r="I11" s="12">
        <f>$M$12+$M$11*B11</f>
        <v/>
      </c>
      <c r="K11" s="8" t="inlineStr">
        <is>
          <t>Inclinação da Reta (Slope b₁)</t>
        </is>
      </c>
      <c r="L11" s="9">
        <f>INCLINAÇÃO(Y; X)</f>
        <v/>
      </c>
      <c r="M11" s="17">
        <f>SLOPE(C6:C40,B6:B40)</f>
        <v/>
      </c>
      <c r="N11" s="17" t="n">
        <v>0.0006966505837104781</v>
      </c>
    </row>
    <row r="12">
      <c r="A12" s="6" t="n">
        <v>1996</v>
      </c>
      <c r="B12" s="7" t="n">
        <v>8300.634099999999</v>
      </c>
      <c r="C12" s="7" t="n">
        <v>68.108</v>
      </c>
      <c r="D12" s="7">
        <f>B12-$B$41</f>
        <v/>
      </c>
      <c r="E12" s="7">
        <f>C12-$C$41</f>
        <v/>
      </c>
      <c r="F12" s="7">
        <f>D12*E12</f>
        <v/>
      </c>
      <c r="G12" s="7">
        <f>D12^2</f>
        <v/>
      </c>
      <c r="H12" s="7">
        <f>E12^2</f>
        <v/>
      </c>
      <c r="I12" s="7">
        <f>$M$12+$M$11*B12</f>
        <v/>
      </c>
      <c r="K12" s="8" t="inlineStr">
        <is>
          <t>Intercepto da Reta (b₀)</t>
        </is>
      </c>
      <c r="L12" s="9">
        <f>INTERCEPÇÃO(Y; X)</f>
        <v/>
      </c>
      <c r="M12" s="12">
        <f>INTERCEPT(C6:C40,B6:B40)</f>
        <v/>
      </c>
      <c r="N12" s="12" t="n">
        <v>63.1099823710597</v>
      </c>
    </row>
    <row r="13">
      <c r="A13" s="11" t="n">
        <v>1997</v>
      </c>
      <c r="B13" s="12" t="n">
        <v>8601.609</v>
      </c>
      <c r="C13" s="12" t="n">
        <v>68.505</v>
      </c>
      <c r="D13" s="12">
        <f>B13-$B$41</f>
        <v/>
      </c>
      <c r="E13" s="12">
        <f>C13-$C$41</f>
        <v/>
      </c>
      <c r="F13" s="12">
        <f>D13*E13</f>
        <v/>
      </c>
      <c r="G13" s="12">
        <f>D13^2</f>
        <v/>
      </c>
      <c r="H13" s="12">
        <f>E13^2</f>
        <v/>
      </c>
      <c r="I13" s="12">
        <f>$M$12+$M$11*B13</f>
        <v/>
      </c>
      <c r="K13" s="8" t="inlineStr">
        <is>
          <t>Média de X (x̄)</t>
        </is>
      </c>
      <c r="L13" s="9">
        <f>MÉDIA(X)</f>
        <v/>
      </c>
      <c r="M13" s="12">
        <f>AVERAGE(B6:B40)</f>
        <v/>
      </c>
      <c r="N13" s="12" t="n">
        <v>12502.09109295938</v>
      </c>
    </row>
    <row r="14">
      <c r="A14" s="6" t="n">
        <v>1998</v>
      </c>
      <c r="B14" s="7" t="n">
        <v>8598.805700000001</v>
      </c>
      <c r="C14" s="7" t="n">
        <v>68.848</v>
      </c>
      <c r="D14" s="7">
        <f>B14-$B$41</f>
        <v/>
      </c>
      <c r="E14" s="7">
        <f>C14-$C$41</f>
        <v/>
      </c>
      <c r="F14" s="7">
        <f>D14*E14</f>
        <v/>
      </c>
      <c r="G14" s="7">
        <f>D14^2</f>
        <v/>
      </c>
      <c r="H14" s="7">
        <f>E14^2</f>
        <v/>
      </c>
      <c r="I14" s="7">
        <f>$M$12+$M$11*B14</f>
        <v/>
      </c>
      <c r="K14" s="8" t="inlineStr">
        <is>
          <t>Média de Y (ȳ)</t>
        </is>
      </c>
      <c r="L14" s="9">
        <f>MÉDIA(Y)</f>
        <v/>
      </c>
      <c r="M14" s="12">
        <f>AVERAGE(C6:C40)</f>
        <v/>
      </c>
      <c r="N14" s="12" t="n">
        <v>71.81957142857142</v>
      </c>
    </row>
    <row r="15">
      <c r="A15" s="11" t="n">
        <v>1999</v>
      </c>
      <c r="B15" s="12" t="n">
        <v>8634.6078</v>
      </c>
      <c r="C15" s="12" t="n">
        <v>69.211</v>
      </c>
      <c r="D15" s="12">
        <f>B15-$B$41</f>
        <v/>
      </c>
      <c r="E15" s="12">
        <f>C15-$C$41</f>
        <v/>
      </c>
      <c r="F15" s="12">
        <f>D15*E15</f>
        <v/>
      </c>
      <c r="G15" s="12">
        <f>D15^2</f>
        <v/>
      </c>
      <c r="H15" s="12">
        <f>E15^2</f>
        <v/>
      </c>
      <c r="I15" s="12">
        <f>$M$12+$M$11*B15</f>
        <v/>
      </c>
      <c r="K15" s="8" t="inlineStr">
        <is>
          <t>Desvio-Padrão Amostral de X (sₓ)</t>
        </is>
      </c>
      <c r="L15" s="9">
        <f>DESVPAD.A(X)</f>
        <v/>
      </c>
      <c r="M15" s="12">
        <f>STDEV.S(B6:B40)</f>
        <v/>
      </c>
      <c r="N15" s="12" t="n">
        <v>4274.456100663294</v>
      </c>
    </row>
    <row r="16">
      <c r="A16" s="6" t="n">
        <v>2000</v>
      </c>
      <c r="B16" s="7" t="n">
        <v>9091.7685</v>
      </c>
      <c r="C16" s="7" t="n">
        <v>69.584</v>
      </c>
      <c r="D16" s="7">
        <f>B16-$B$41</f>
        <v/>
      </c>
      <c r="E16" s="7">
        <f>C16-$C$41</f>
        <v/>
      </c>
      <c r="F16" s="7">
        <f>D16*E16</f>
        <v/>
      </c>
      <c r="G16" s="7">
        <f>D16^2</f>
        <v/>
      </c>
      <c r="H16" s="7">
        <f>E16^2</f>
        <v/>
      </c>
      <c r="I16" s="7">
        <f>$M$12+$M$11*B16</f>
        <v/>
      </c>
      <c r="K16" s="8" t="inlineStr">
        <is>
          <t>Desvio-Padrão Amostral de Y (sᵧ)</t>
        </is>
      </c>
      <c r="L16" s="9">
        <f>DESVPAD.A(Y)</f>
        <v/>
      </c>
      <c r="M16" s="12">
        <f>STDEV.S(C6:C40)</f>
        <v/>
      </c>
      <c r="N16" s="12" t="n">
        <v>3.26474570026441</v>
      </c>
    </row>
    <row r="17">
      <c r="A17" s="11" t="n">
        <v>2001</v>
      </c>
      <c r="B17" s="12" t="n">
        <v>9303.6453</v>
      </c>
      <c r="C17" s="12" t="n">
        <v>69.98</v>
      </c>
      <c r="D17" s="12">
        <f>B17-$B$41</f>
        <v/>
      </c>
      <c r="E17" s="12">
        <f>C17-$C$41</f>
        <v/>
      </c>
      <c r="F17" s="12">
        <f>D17*E17</f>
        <v/>
      </c>
      <c r="G17" s="12">
        <f>D17^2</f>
        <v/>
      </c>
      <c r="H17" s="12">
        <f>E17^2</f>
        <v/>
      </c>
      <c r="I17" s="12">
        <f>$M$12+$M$11*B17</f>
        <v/>
      </c>
      <c r="K17" s="8" t="inlineStr">
        <is>
          <t>Estatística t de Student</t>
        </is>
      </c>
      <c r="L17" s="9" t="inlineStr">
        <is>
          <t>r·√(n-2)/√(1-r²)</t>
        </is>
      </c>
      <c r="M17" s="18">
        <f>M7*SQRT((M6-2)/(1-M7^2))</f>
        <v/>
      </c>
      <c r="N17" s="18" t="n">
        <v>12.78126378752002</v>
      </c>
    </row>
    <row r="18">
      <c r="A18" s="6" t="n">
        <v>2002</v>
      </c>
      <c r="B18" s="7" t="n">
        <v>9616.5949</v>
      </c>
      <c r="C18" s="7" t="n">
        <v>70.396</v>
      </c>
      <c r="D18" s="7">
        <f>B18-$B$41</f>
        <v/>
      </c>
      <c r="E18" s="7">
        <f>C18-$C$41</f>
        <v/>
      </c>
      <c r="F18" s="7">
        <f>D18*E18</f>
        <v/>
      </c>
      <c r="G18" s="7">
        <f>D18^2</f>
        <v/>
      </c>
      <c r="H18" s="7">
        <f>E18^2</f>
        <v/>
      </c>
      <c r="I18" s="7">
        <f>$M$12+$M$11*B18</f>
        <v/>
      </c>
      <c r="K18" s="8" t="inlineStr">
        <is>
          <t>Valor-p (Significância bilateral)</t>
        </is>
      </c>
      <c r="L18" s="9" t="inlineStr">
        <is>
          <t>Teste t / SciPy</t>
        </is>
      </c>
      <c r="M18" s="19" t="n">
        <v>2.494323721093609e-14</v>
      </c>
      <c r="N18" s="19" t="n">
        <v>2.494323721093609e-14</v>
      </c>
    </row>
    <row r="19">
      <c r="A19" s="11" t="n">
        <v>2003</v>
      </c>
      <c r="B19" s="12" t="n">
        <v>9801.962100000001</v>
      </c>
      <c r="C19" s="12" t="n">
        <v>70.884</v>
      </c>
      <c r="D19" s="12">
        <f>B19-$B$41</f>
        <v/>
      </c>
      <c r="E19" s="12">
        <f>C19-$C$41</f>
        <v/>
      </c>
      <c r="F19" s="12">
        <f>D19*E19</f>
        <v/>
      </c>
      <c r="G19" s="12">
        <f>D19^2</f>
        <v/>
      </c>
      <c r="H19" s="12">
        <f>E19^2</f>
        <v/>
      </c>
      <c r="I19" s="12">
        <f>$M$12+$M$11*B19</f>
        <v/>
      </c>
    </row>
    <row r="20">
      <c r="A20" s="6" t="n">
        <v>2004</v>
      </c>
      <c r="B20" s="7" t="n">
        <v>10525.7114</v>
      </c>
      <c r="C20" s="7" t="n">
        <v>71.361</v>
      </c>
      <c r="D20" s="7">
        <f>B20-$B$41</f>
        <v/>
      </c>
      <c r="E20" s="7">
        <f>C20-$C$41</f>
        <v/>
      </c>
      <c r="F20" s="7">
        <f>D20*E20</f>
        <v/>
      </c>
      <c r="G20" s="7">
        <f>D20^2</f>
        <v/>
      </c>
      <c r="H20" s="7">
        <f>E20^2</f>
        <v/>
      </c>
      <c r="I20" s="7">
        <f>$M$12+$M$11*B20</f>
        <v/>
      </c>
      <c r="K20" s="20" t="inlineStr">
        <is>
          <t>PROJEÇÃO DE CENÁRIOS FUTUROS (REGRESSÃO LINEAR NO EXCEL)</t>
        </is>
      </c>
    </row>
    <row r="21">
      <c r="A21" s="11" t="n">
        <v>2005</v>
      </c>
      <c r="B21" s="12" t="n">
        <v>11081.2475</v>
      </c>
      <c r="C21" s="12" t="n">
        <v>71.83199999999999</v>
      </c>
      <c r="D21" s="12">
        <f>B21-$B$41</f>
        <v/>
      </c>
      <c r="E21" s="12">
        <f>C21-$C$41</f>
        <v/>
      </c>
      <c r="F21" s="12">
        <f>D21*E21</f>
        <v/>
      </c>
      <c r="G21" s="12">
        <f>D21^2</f>
        <v/>
      </c>
      <c r="H21" s="12">
        <f>E21^2</f>
        <v/>
      </c>
      <c r="I21" s="12">
        <f>$M$12+$M$11*B21</f>
        <v/>
      </c>
      <c r="K21" s="21" t="inlineStr">
        <is>
          <t>Cenário Projetado</t>
        </is>
      </c>
      <c r="L21" s="21" t="inlineStr">
        <is>
          <t>Valor de X (US$ PPP)</t>
        </is>
      </c>
      <c r="M21" s="21" t="inlineStr">
        <is>
          <t>Ŷ via Fórmula Excel</t>
        </is>
      </c>
      <c r="N21" s="21" t="inlineStr">
        <is>
          <t>Ŷ Esperado (Anos)</t>
        </is>
      </c>
    </row>
    <row r="22">
      <c r="A22" s="6" t="n">
        <v>2006</v>
      </c>
      <c r="B22" s="7" t="n">
        <v>11750.5312</v>
      </c>
      <c r="C22" s="7" t="n">
        <v>72.29600000000001</v>
      </c>
      <c r="D22" s="7">
        <f>B22-$B$41</f>
        <v/>
      </c>
      <c r="E22" s="7">
        <f>C22-$C$41</f>
        <v/>
      </c>
      <c r="F22" s="7">
        <f>D22*E22</f>
        <v/>
      </c>
      <c r="G22" s="7">
        <f>D22^2</f>
        <v/>
      </c>
      <c r="H22" s="7">
        <f>E22^2</f>
        <v/>
      </c>
      <c r="I22" s="7">
        <f>$M$12+$M$11*B22</f>
        <v/>
      </c>
      <c r="K22" s="22" t="inlineStr">
        <is>
          <t>Cenário 1: PIB per capita = US$ 25.000 PPP</t>
        </is>
      </c>
      <c r="L22" s="7" t="n">
        <v>25000</v>
      </c>
      <c r="M22" s="7">
        <f>$M$12+$M$11*L22</f>
        <v/>
      </c>
      <c r="N22" s="7" t="n">
        <v>80.53</v>
      </c>
    </row>
    <row r="23">
      <c r="A23" s="11" t="n">
        <v>2007</v>
      </c>
      <c r="B23" s="12" t="n">
        <v>12672.5051</v>
      </c>
      <c r="C23" s="12" t="n">
        <v>72.73</v>
      </c>
      <c r="D23" s="12">
        <f>B23-$B$41</f>
        <v/>
      </c>
      <c r="E23" s="12">
        <f>C23-$C$41</f>
        <v/>
      </c>
      <c r="F23" s="12">
        <f>D23*E23</f>
        <v/>
      </c>
      <c r="G23" s="12">
        <f>D23^2</f>
        <v/>
      </c>
      <c r="H23" s="12">
        <f>E23^2</f>
        <v/>
      </c>
      <c r="I23" s="12">
        <f>$M$12+$M$11*B23</f>
        <v/>
      </c>
      <c r="K23" s="22" t="inlineStr">
        <is>
          <t>Cenário 2: PIB per capita = US$ 28.000 PPP</t>
        </is>
      </c>
      <c r="L23" s="7" t="n">
        <v>28000</v>
      </c>
      <c r="M23" s="7">
        <f>$M$12+$M$11*L23</f>
        <v/>
      </c>
      <c r="N23" s="7" t="n">
        <v>82.62</v>
      </c>
    </row>
    <row r="24">
      <c r="A24" s="6" t="n">
        <v>2008</v>
      </c>
      <c r="B24" s="7" t="n">
        <v>13445.2455</v>
      </c>
      <c r="C24" s="7" t="n">
        <v>73.111</v>
      </c>
      <c r="D24" s="7">
        <f>B24-$B$41</f>
        <v/>
      </c>
      <c r="E24" s="7">
        <f>C24-$C$41</f>
        <v/>
      </c>
      <c r="F24" s="7">
        <f>D24*E24</f>
        <v/>
      </c>
      <c r="G24" s="7">
        <f>D24^2</f>
        <v/>
      </c>
      <c r="H24" s="7">
        <f>E24^2</f>
        <v/>
      </c>
      <c r="I24" s="7">
        <f>$M$12+$M$11*B24</f>
        <v/>
      </c>
      <c r="K24" s="22" t="inlineStr">
        <is>
          <t>Cenário 3: PIB per capita = US$ 30.000 PPP</t>
        </is>
      </c>
      <c r="L24" s="7" t="n">
        <v>30000</v>
      </c>
      <c r="M24" s="7">
        <f>$M$12+$M$11*L24</f>
        <v/>
      </c>
      <c r="N24" s="7" t="n">
        <v>84.01000000000001</v>
      </c>
    </row>
    <row r="25">
      <c r="A25" s="11" t="n">
        <v>2009</v>
      </c>
      <c r="B25" s="12" t="n">
        <v>13390.6831</v>
      </c>
      <c r="C25" s="12" t="n">
        <v>73.45699999999999</v>
      </c>
      <c r="D25" s="12">
        <f>B25-$B$41</f>
        <v/>
      </c>
      <c r="E25" s="12">
        <f>C25-$C$41</f>
        <v/>
      </c>
      <c r="F25" s="12">
        <f>D25*E25</f>
        <v/>
      </c>
      <c r="G25" s="12">
        <f>D25^2</f>
        <v/>
      </c>
      <c r="H25" s="12">
        <f>E25^2</f>
        <v/>
      </c>
      <c r="I25" s="12">
        <f>$M$12+$M$11*B25</f>
        <v/>
      </c>
    </row>
    <row r="26">
      <c r="A26" s="6" t="n">
        <v>2010</v>
      </c>
      <c r="B26" s="7" t="n">
        <v>14451.7158</v>
      </c>
      <c r="C26" s="7" t="n">
        <v>73.779</v>
      </c>
      <c r="D26" s="7">
        <f>B26-$B$41</f>
        <v/>
      </c>
      <c r="E26" s="7">
        <f>C26-$C$41</f>
        <v/>
      </c>
      <c r="F26" s="7">
        <f>D26*E26</f>
        <v/>
      </c>
      <c r="G26" s="7">
        <f>D26^2</f>
        <v/>
      </c>
      <c r="H26" s="7">
        <f>E26^2</f>
        <v/>
      </c>
      <c r="I26" s="7">
        <f>$M$12+$M$11*B26</f>
        <v/>
      </c>
    </row>
    <row r="27">
      <c r="A27" s="11" t="n">
        <v>2011</v>
      </c>
      <c r="B27" s="12" t="n">
        <v>15211.792</v>
      </c>
      <c r="C27" s="12" t="n">
        <v>74.047</v>
      </c>
      <c r="D27" s="12">
        <f>B27-$B$41</f>
        <v/>
      </c>
      <c r="E27" s="12">
        <f>C27-$C$41</f>
        <v/>
      </c>
      <c r="F27" s="12">
        <f>D27*E27</f>
        <v/>
      </c>
      <c r="G27" s="12">
        <f>D27^2</f>
        <v/>
      </c>
      <c r="H27" s="12">
        <f>E27^2</f>
        <v/>
      </c>
      <c r="I27" s="12">
        <f>$M$12+$M$11*B27</f>
        <v/>
      </c>
    </row>
    <row r="28">
      <c r="A28" s="6" t="n">
        <v>2012</v>
      </c>
      <c r="B28" s="7" t="n">
        <v>15198.0863</v>
      </c>
      <c r="C28" s="7" t="n">
        <v>74.33499999999999</v>
      </c>
      <c r="D28" s="7">
        <f>B28-$B$41</f>
        <v/>
      </c>
      <c r="E28" s="7">
        <f>C28-$C$41</f>
        <v/>
      </c>
      <c r="F28" s="7">
        <f>D28*E28</f>
        <v/>
      </c>
      <c r="G28" s="7">
        <f>D28^2</f>
        <v/>
      </c>
      <c r="H28" s="7">
        <f>E28^2</f>
        <v/>
      </c>
      <c r="I28" s="7">
        <f>$M$12+$M$11*B28</f>
        <v/>
      </c>
    </row>
    <row r="29">
      <c r="A29" s="11" t="n">
        <v>2013</v>
      </c>
      <c r="B29" s="12" t="n">
        <v>15722.3335</v>
      </c>
      <c r="C29" s="12" t="n">
        <v>74.60899999999999</v>
      </c>
      <c r="D29" s="12">
        <f>B29-$B$41</f>
        <v/>
      </c>
      <c r="E29" s="12">
        <f>C29-$C$41</f>
        <v/>
      </c>
      <c r="F29" s="12">
        <f>D29*E29</f>
        <v/>
      </c>
      <c r="G29" s="12">
        <f>D29^2</f>
        <v/>
      </c>
      <c r="H29" s="12">
        <f>E29^2</f>
        <v/>
      </c>
      <c r="I29" s="12">
        <f>$M$12+$M$11*B29</f>
        <v/>
      </c>
    </row>
    <row r="30">
      <c r="A30" s="6" t="n">
        <v>2014</v>
      </c>
      <c r="B30" s="7" t="n">
        <v>15827.3082</v>
      </c>
      <c r="C30" s="7" t="n">
        <v>74.82299999999999</v>
      </c>
      <c r="D30" s="7">
        <f>B30-$B$41</f>
        <v/>
      </c>
      <c r="E30" s="7">
        <f>C30-$C$41</f>
        <v/>
      </c>
      <c r="F30" s="7">
        <f>D30*E30</f>
        <v/>
      </c>
      <c r="G30" s="7">
        <f>D30^2</f>
        <v/>
      </c>
      <c r="H30" s="7">
        <f>E30^2</f>
        <v/>
      </c>
      <c r="I30" s="7">
        <f>$M$12+$M$11*B30</f>
        <v/>
      </c>
    </row>
    <row r="31">
      <c r="A31" s="11" t="n">
        <v>2015</v>
      </c>
      <c r="B31" s="12" t="n">
        <v>14821.4383</v>
      </c>
      <c r="C31" s="12" t="n">
        <v>75.10599999999999</v>
      </c>
      <c r="D31" s="12">
        <f>B31-$B$41</f>
        <v/>
      </c>
      <c r="E31" s="12">
        <f>C31-$C$41</f>
        <v/>
      </c>
      <c r="F31" s="12">
        <f>D31*E31</f>
        <v/>
      </c>
      <c r="G31" s="12">
        <f>D31^2</f>
        <v/>
      </c>
      <c r="H31" s="12">
        <f>E31^2</f>
        <v/>
      </c>
      <c r="I31" s="12">
        <f>$M$12+$M$11*B31</f>
        <v/>
      </c>
    </row>
    <row r="32">
      <c r="A32" s="6" t="n">
        <v>2016</v>
      </c>
      <c r="B32" s="7" t="n">
        <v>14309.2061</v>
      </c>
      <c r="C32" s="7" t="n">
        <v>75.081</v>
      </c>
      <c r="D32" s="7">
        <f>B32-$B$41</f>
        <v/>
      </c>
      <c r="E32" s="7">
        <f>C32-$C$41</f>
        <v/>
      </c>
      <c r="F32" s="7">
        <f>D32*E32</f>
        <v/>
      </c>
      <c r="G32" s="7">
        <f>D32^2</f>
        <v/>
      </c>
      <c r="H32" s="7">
        <f>E32^2</f>
        <v/>
      </c>
      <c r="I32" s="7">
        <f>$M$12+$M$11*B32</f>
        <v/>
      </c>
    </row>
    <row r="33">
      <c r="A33" s="11" t="n">
        <v>2017</v>
      </c>
      <c r="B33" s="12" t="n">
        <v>14559.0489</v>
      </c>
      <c r="C33" s="12" t="n">
        <v>75.383</v>
      </c>
      <c r="D33" s="12">
        <f>B33-$B$41</f>
        <v/>
      </c>
      <c r="E33" s="12">
        <f>C33-$C$41</f>
        <v/>
      </c>
      <c r="F33" s="12">
        <f>D33*E33</f>
        <v/>
      </c>
      <c r="G33" s="12">
        <f>D33^2</f>
        <v/>
      </c>
      <c r="H33" s="12">
        <f>E33^2</f>
        <v/>
      </c>
      <c r="I33" s="12">
        <f>$M$12+$M$11*B33</f>
        <v/>
      </c>
    </row>
    <row r="34">
      <c r="A34" s="6" t="n">
        <v>2018</v>
      </c>
      <c r="B34" s="7" t="n">
        <v>15463.7426</v>
      </c>
      <c r="C34" s="7" t="n">
        <v>75.633</v>
      </c>
      <c r="D34" s="7">
        <f>B34-$B$41</f>
        <v/>
      </c>
      <c r="E34" s="7">
        <f>C34-$C$41</f>
        <v/>
      </c>
      <c r="F34" s="7">
        <f>D34*E34</f>
        <v/>
      </c>
      <c r="G34" s="7">
        <f>D34^2</f>
        <v/>
      </c>
      <c r="H34" s="7">
        <f>E34^2</f>
        <v/>
      </c>
      <c r="I34" s="7">
        <f>$M$12+$M$11*B34</f>
        <v/>
      </c>
    </row>
    <row r="35">
      <c r="A35" s="11" t="n">
        <v>2019</v>
      </c>
      <c r="B35" s="12" t="n">
        <v>16069.838</v>
      </c>
      <c r="C35" s="12" t="n">
        <v>75.809</v>
      </c>
      <c r="D35" s="12">
        <f>B35-$B$41</f>
        <v/>
      </c>
      <c r="E35" s="12">
        <f>C35-$C$41</f>
        <v/>
      </c>
      <c r="F35" s="12">
        <f>D35*E35</f>
        <v/>
      </c>
      <c r="G35" s="12">
        <f>D35^2</f>
        <v/>
      </c>
      <c r="H35" s="12">
        <f>E35^2</f>
        <v/>
      </c>
      <c r="I35" s="12">
        <f>$M$12+$M$11*B35</f>
        <v/>
      </c>
    </row>
    <row r="36">
      <c r="A36" s="6" t="n">
        <v>2020</v>
      </c>
      <c r="B36" s="7" t="n">
        <v>16101.6183</v>
      </c>
      <c r="C36" s="7" t="n">
        <v>74.506</v>
      </c>
      <c r="D36" s="7">
        <f>B36-$B$41</f>
        <v/>
      </c>
      <c r="E36" s="7">
        <f>C36-$C$41</f>
        <v/>
      </c>
      <c r="F36" s="7">
        <f>D36*E36</f>
        <v/>
      </c>
      <c r="G36" s="7">
        <f>D36^2</f>
        <v/>
      </c>
      <c r="H36" s="7">
        <f>E36^2</f>
        <v/>
      </c>
      <c r="I36" s="7">
        <f>$M$12+$M$11*B36</f>
        <v/>
      </c>
    </row>
    <row r="37">
      <c r="A37" s="11" t="n">
        <v>2021</v>
      </c>
      <c r="B37" s="12" t="n">
        <v>18075.706</v>
      </c>
      <c r="C37" s="12" t="n">
        <v>73.038</v>
      </c>
      <c r="D37" s="12">
        <f>B37-$B$41</f>
        <v/>
      </c>
      <c r="E37" s="12">
        <f>C37-$C$41</f>
        <v/>
      </c>
      <c r="F37" s="12">
        <f>D37*E37</f>
        <v/>
      </c>
      <c r="G37" s="12">
        <f>D37^2</f>
        <v/>
      </c>
      <c r="H37" s="12">
        <f>E37^2</f>
        <v/>
      </c>
      <c r="I37" s="12">
        <f>$M$12+$M$11*B37</f>
        <v/>
      </c>
    </row>
    <row r="38">
      <c r="A38" s="6" t="n">
        <v>2022</v>
      </c>
      <c r="B38" s="7" t="n">
        <v>19873.7033</v>
      </c>
      <c r="C38" s="7" t="n">
        <v>74.872</v>
      </c>
      <c r="D38" s="7">
        <f>B38-$B$41</f>
        <v/>
      </c>
      <c r="E38" s="7">
        <f>C38-$C$41</f>
        <v/>
      </c>
      <c r="F38" s="7">
        <f>D38*E38</f>
        <v/>
      </c>
      <c r="G38" s="7">
        <f>D38^2</f>
        <v/>
      </c>
      <c r="H38" s="7">
        <f>E38^2</f>
        <v/>
      </c>
      <c r="I38" s="7">
        <f>$M$12+$M$11*B38</f>
        <v/>
      </c>
    </row>
    <row r="39">
      <c r="A39" s="11" t="n">
        <v>2023</v>
      </c>
      <c r="B39" s="12" t="n">
        <v>21193.0721</v>
      </c>
      <c r="C39" s="12" t="n">
        <v>75.848</v>
      </c>
      <c r="D39" s="12">
        <f>B39-$B$41</f>
        <v/>
      </c>
      <c r="E39" s="12">
        <f>C39-$C$41</f>
        <v/>
      </c>
      <c r="F39" s="12">
        <f>D39*E39</f>
        <v/>
      </c>
      <c r="G39" s="12">
        <f>D39^2</f>
        <v/>
      </c>
      <c r="H39" s="12">
        <f>E39^2</f>
        <v/>
      </c>
      <c r="I39" s="12">
        <f>$M$12+$M$11*B39</f>
        <v/>
      </c>
    </row>
    <row r="40">
      <c r="A40" s="6" t="n">
        <v>2024</v>
      </c>
      <c r="B40" s="7" t="n">
        <v>22370.9182</v>
      </c>
      <c r="C40" s="7" t="n">
        <v>76.023</v>
      </c>
      <c r="D40" s="7">
        <f>B40-$B$41</f>
        <v/>
      </c>
      <c r="E40" s="7">
        <f>C40-$C$41</f>
        <v/>
      </c>
      <c r="F40" s="7">
        <f>D40*E40</f>
        <v/>
      </c>
      <c r="G40" s="7">
        <f>D40^2</f>
        <v/>
      </c>
      <c r="H40" s="7">
        <f>E40^2</f>
        <v/>
      </c>
      <c r="I40" s="7">
        <f>$M$12+$M$11*B40</f>
        <v/>
      </c>
    </row>
    <row r="41">
      <c r="A41" s="23" t="inlineStr">
        <is>
          <t>MÉDIA / SOMA</t>
        </is>
      </c>
      <c r="B41" s="24">
        <f>AVERAGE(B6:B40)</f>
        <v/>
      </c>
      <c r="C41" s="24">
        <f>AVERAGE(C6:C40)</f>
        <v/>
      </c>
      <c r="D41" s="25">
        <f>SUM(D6:D40)</f>
        <v/>
      </c>
      <c r="E41" s="25">
        <f>SUM(E6:E40)</f>
        <v/>
      </c>
      <c r="F41" s="24">
        <f>SUM(F6:F40)</f>
        <v/>
      </c>
      <c r="G41" s="24">
        <f>SUM(G6:G40)</f>
        <v/>
      </c>
      <c r="H41" s="24">
        <f>SUM(H6:H40)</f>
        <v/>
      </c>
      <c r="I41" s="24">
        <f>AVERAGE(I6:I40)</f>
        <v/>
      </c>
    </row>
    <row r="44">
      <c r="A44" s="26" t="inlineStr">
        <is>
          <t>CONCLUSÃO TÉCNICA SOBRE A ANÁLISE DE CORRELAÇÃO DE PEARSON E REGRESSÃO</t>
        </is>
      </c>
    </row>
    <row r="45">
      <c r="A45" s="27" t="inlineStr">
        <is>
          <t>1. FORÇA E DIREÇÃO DA CORRELAÇÃO: O coeficiente de correlação de Pearson entre o PIB per capita PPP (X) e a Expectativa de Vida ao Nascer (Y) no Brasil (1990–2024, n = 35 anos) é r = 0.9121 (p-valor = 2.49e-14). Trata-se de uma CORRELAÇÃO POSITIVA MUITO FORTE, validando empiricamente a clássica Curva de Preston (Preston, 1975) para a trajetória brasileira contemporânea.
2. ANÁLISE DO DIAGRAMA E IMPACTO DA PANDEMIA: O coeficiente de determinação R² = 0.8319 mostra que 83.19% dos ganhos de longevidade no Brasil (de 65,9 anos em 1990 para 76,0 anos em 2024) estão associados ao avanço econômico e investimentos sociais. O gráfico de dispersão evidencia também o outlier histórico de 2020–2021 (queda abrupta para 73,0 anos devido à pandemia de COVID-19), seguido de recuperação em 2023–2024.</t>
        </is>
      </c>
    </row>
    <row r="46"/>
    <row r="47"/>
    <row r="48"/>
    <row r="49"/>
    <row r="50"/>
    <row r="51"/>
    <row r="52"/>
  </sheetData>
  <mergeCells count="6">
    <mergeCell ref="A2:I3"/>
    <mergeCell ref="A45:I52"/>
    <mergeCell ref="A44:I44"/>
    <mergeCell ref="A1:I1"/>
    <mergeCell ref="K20:N20"/>
    <mergeCell ref="K5:N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2" customWidth="1" min="6" max="6"/>
    <col width="20" customWidth="1" min="7" max="7"/>
    <col width="20" customWidth="1" min="8" max="8"/>
    <col width="20" customWidth="1" min="9" max="9"/>
    <col width="3" customWidth="1" min="10" max="10"/>
    <col width="38" customWidth="1" min="11" max="11"/>
    <col width="22" customWidth="1" min="12" max="12"/>
    <col width="20" customWidth="1" min="13" max="13"/>
    <col width="18" customWidth="1" min="14" max="14"/>
  </cols>
  <sheetData>
    <row r="1" ht="28" customHeight="1">
      <c r="A1" s="1" t="inlineStr">
        <is>
          <t>ANÁLISE 3 (CORRELAÇÃO NEGATIVA): PIB PER CAPITA (PPP) × EXTREMA POBREZA NO BRASIL (1990–2024)</t>
        </is>
      </c>
    </row>
    <row r="2" ht="22" customHeight="1">
      <c r="A2" s="2" t="inlineStr">
        <is>
          <t>LITERATURA / REFERÊNCIA OFICIAL DOS DADOS E DO DIAGRAMA DE DISPERSÃO:
• Base Oficial: WORLD BANK. World Development Indicators (WDI) — Brazil (BRA). Indicadores: NY.GDP.PCAP.PP.CD e SI.POV.DDAY.
• Literatura Científica do Diagrama: RAVALLION, M.; CHEN, S. Measuring Pro-Poor Growth. Economics Letters, v. 78, n. 1, p. 93-99, 2003 / World Bank Poverty &amp; Equity Brief.</t>
        </is>
      </c>
    </row>
    <row r="3" ht="22" customHeight="1"/>
    <row r="4">
      <c r="K4" s="3" t="inlineStr">
        <is>
          <t>Indicador Estatístico</t>
        </is>
      </c>
      <c r="L4" s="3" t="inlineStr">
        <is>
          <t>Equivalente PT-BR</t>
        </is>
      </c>
      <c r="M4" s="3" t="inlineStr">
        <is>
          <t>Fórmula Ativa (Excel)</t>
        </is>
      </c>
      <c r="N4" s="3" t="inlineStr">
        <is>
          <t>Valor Calculado</t>
        </is>
      </c>
    </row>
    <row r="5" ht="30" customHeight="1">
      <c r="A5" s="4" t="inlineStr">
        <is>
          <t>Ano</t>
        </is>
      </c>
      <c r="B5" s="4" t="inlineStr">
        <is>
          <t>Variável X:
PIB per capita PPP</t>
        </is>
      </c>
      <c r="C5" s="4" t="inlineStr">
        <is>
          <t>Variável Y:
Extrema Pobreza (% pop.)</t>
        </is>
      </c>
      <c r="D5" s="4" t="inlineStr">
        <is>
          <t>Desvio em X
(xi - x̄)</t>
        </is>
      </c>
      <c r="E5" s="4" t="inlineStr">
        <is>
          <t>Desvio em Y
(yi - ȳ)</t>
        </is>
      </c>
      <c r="F5" s="4" t="inlineStr">
        <is>
          <t>Produto dos Desvios
(xi - x̄)·(yi - ȳ)</t>
        </is>
      </c>
      <c r="G5" s="4" t="inlineStr">
        <is>
          <t>Quadrado Desvio X
(xi - x̄)²</t>
        </is>
      </c>
      <c r="H5" s="4" t="inlineStr">
        <is>
          <t>Quadrado Desvio Y
(yi - ȳ)²</t>
        </is>
      </c>
      <c r="I5" s="4" t="inlineStr">
        <is>
          <t>Projeção Linear (Ŷ)
% da População</t>
        </is>
      </c>
      <c r="K5" s="5" t="inlineStr">
        <is>
          <t>QUADRO ESTATÍSTICO — CORRELAÇÃO DE PEARSON E REGRESSÃO NO EXCEL</t>
        </is>
      </c>
    </row>
    <row r="6">
      <c r="A6" s="6" t="n">
        <v>1990</v>
      </c>
      <c r="B6" s="7" t="n">
        <v>6687.9229</v>
      </c>
      <c r="C6" s="7" t="n">
        <v>30.3</v>
      </c>
      <c r="D6" s="7">
        <f>B6-$B$37</f>
        <v/>
      </c>
      <c r="E6" s="7">
        <f>C6-$C$37</f>
        <v/>
      </c>
      <c r="F6" s="7">
        <f>D6*E6</f>
        <v/>
      </c>
      <c r="G6" s="7">
        <f>D6^2</f>
        <v/>
      </c>
      <c r="H6" s="7">
        <f>E6^2</f>
        <v/>
      </c>
      <c r="I6" s="7">
        <f>$M$12+$M$11*B6</f>
        <v/>
      </c>
      <c r="K6" s="8" t="inlineStr">
        <is>
          <t>Número de Observações (n)</t>
        </is>
      </c>
      <c r="L6" s="9">
        <f>CONT.NÚM()</f>
        <v/>
      </c>
      <c r="M6" s="10">
        <f>COUNT(B6:B36)</f>
        <v/>
      </c>
      <c r="N6" s="10" t="n">
        <v>31</v>
      </c>
    </row>
    <row r="7">
      <c r="A7" s="11" t="n">
        <v>1992</v>
      </c>
      <c r="B7" s="12" t="n">
        <v>6869.41</v>
      </c>
      <c r="C7" s="12" t="n">
        <v>29.4</v>
      </c>
      <c r="D7" s="12">
        <f>B7-$B$37</f>
        <v/>
      </c>
      <c r="E7" s="12">
        <f>C7-$C$37</f>
        <v/>
      </c>
      <c r="F7" s="12">
        <f>D7*E7</f>
        <v/>
      </c>
      <c r="G7" s="12">
        <f>D7^2</f>
        <v/>
      </c>
      <c r="H7" s="12">
        <f>E7^2</f>
        <v/>
      </c>
      <c r="I7" s="12">
        <f>$M$12+$M$11*B7</f>
        <v/>
      </c>
      <c r="K7" s="13" t="inlineStr">
        <is>
          <t>Coeficiente de Pearson (Função CORREL)</t>
        </is>
      </c>
      <c r="L7" s="14">
        <f>CORREL(X; Y)</f>
        <v/>
      </c>
      <c r="M7" s="15">
        <f>CORREL(B6:B36,C6:C36)</f>
        <v/>
      </c>
      <c r="N7" s="15" t="n">
        <v>-0.9027445774601414</v>
      </c>
    </row>
    <row r="8">
      <c r="A8" s="6" t="n">
        <v>1993</v>
      </c>
      <c r="B8" s="7" t="n">
        <v>7259.9889</v>
      </c>
      <c r="C8" s="7" t="n">
        <v>28.2</v>
      </c>
      <c r="D8" s="7">
        <f>B8-$B$37</f>
        <v/>
      </c>
      <c r="E8" s="7">
        <f>C8-$C$37</f>
        <v/>
      </c>
      <c r="F8" s="7">
        <f>D8*E8</f>
        <v/>
      </c>
      <c r="G8" s="7">
        <f>D8^2</f>
        <v/>
      </c>
      <c r="H8" s="7">
        <f>E8^2</f>
        <v/>
      </c>
      <c r="I8" s="7">
        <f>$M$12+$M$11*B8</f>
        <v/>
      </c>
      <c r="K8" s="13" t="inlineStr">
        <is>
          <t>Coeficiente de Pearson (Função PEARSON)</t>
        </is>
      </c>
      <c r="L8" s="14">
        <f>PEARSON(X; Y)</f>
        <v/>
      </c>
      <c r="M8" s="15">
        <f>PEARSON(B6:B36,C6:C36)</f>
        <v/>
      </c>
      <c r="N8" s="15" t="n">
        <v>-0.9027445774601414</v>
      </c>
    </row>
    <row r="9">
      <c r="A9" s="11" t="n">
        <v>1995</v>
      </c>
      <c r="B9" s="12" t="n">
        <v>8096.9115</v>
      </c>
      <c r="C9" s="12" t="n">
        <v>19.5</v>
      </c>
      <c r="D9" s="12">
        <f>B9-$B$37</f>
        <v/>
      </c>
      <c r="E9" s="12">
        <f>C9-$C$37</f>
        <v/>
      </c>
      <c r="F9" s="12">
        <f>D9*E9</f>
        <v/>
      </c>
      <c r="G9" s="12">
        <f>D9^2</f>
        <v/>
      </c>
      <c r="H9" s="12">
        <f>E9^2</f>
        <v/>
      </c>
      <c r="I9" s="12">
        <f>$M$12+$M$11*B9</f>
        <v/>
      </c>
      <c r="K9" s="13" t="inlineStr">
        <is>
          <t>Pearson pela Fórmula Algébrica (Somas)</t>
        </is>
      </c>
      <c r="L9" s="14" t="inlineStr">
        <is>
          <t>Σ(dx·dy)/√[Σdx²·Σdy²]</t>
        </is>
      </c>
      <c r="M9" s="15">
        <f>F37/SQRT(G37*H37)</f>
        <v/>
      </c>
      <c r="N9" s="15" t="n">
        <v>-0.9027445774601417</v>
      </c>
    </row>
    <row r="10">
      <c r="A10" s="6" t="n">
        <v>1996</v>
      </c>
      <c r="B10" s="7" t="n">
        <v>8300.634099999999</v>
      </c>
      <c r="C10" s="7" t="n">
        <v>20.7</v>
      </c>
      <c r="D10" s="7">
        <f>B10-$B$37</f>
        <v/>
      </c>
      <c r="E10" s="7">
        <f>C10-$C$37</f>
        <v/>
      </c>
      <c r="F10" s="7">
        <f>D10*E10</f>
        <v/>
      </c>
      <c r="G10" s="7">
        <f>D10^2</f>
        <v/>
      </c>
      <c r="H10" s="7">
        <f>E10^2</f>
        <v/>
      </c>
      <c r="I10" s="7">
        <f>$M$12+$M$11*B10</f>
        <v/>
      </c>
      <c r="K10" s="13" t="inlineStr">
        <is>
          <t>Coeficiente de Determinação (R²)</t>
        </is>
      </c>
      <c r="L10" s="14">
        <f>RQUAD(Y; X)</f>
        <v/>
      </c>
      <c r="M10" s="16">
        <f>RSQ(C6:C36,B6:B36)</f>
        <v/>
      </c>
      <c r="N10" s="16" t="n">
        <v>0.8149477721336892</v>
      </c>
    </row>
    <row r="11">
      <c r="A11" s="11" t="n">
        <v>1997</v>
      </c>
      <c r="B11" s="12" t="n">
        <v>8601.609</v>
      </c>
      <c r="C11" s="12" t="n">
        <v>20.4</v>
      </c>
      <c r="D11" s="12">
        <f>B11-$B$37</f>
        <v/>
      </c>
      <c r="E11" s="12">
        <f>C11-$C$37</f>
        <v/>
      </c>
      <c r="F11" s="12">
        <f>D11*E11</f>
        <v/>
      </c>
      <c r="G11" s="12">
        <f>D11^2</f>
        <v/>
      </c>
      <c r="H11" s="12">
        <f>E11^2</f>
        <v/>
      </c>
      <c r="I11" s="12">
        <f>$M$12+$M$11*B11</f>
        <v/>
      </c>
      <c r="K11" s="8" t="inlineStr">
        <is>
          <t>Inclinação da Reta (Slope b₁)</t>
        </is>
      </c>
      <c r="L11" s="9">
        <f>INCLINAÇÃO(Y; X)</f>
        <v/>
      </c>
      <c r="M11" s="17">
        <f>SLOPE(C6:C36,B6:B36)</f>
        <v/>
      </c>
      <c r="N11" s="17" t="n">
        <v>-0.001694449363131193</v>
      </c>
    </row>
    <row r="12">
      <c r="A12" s="6" t="n">
        <v>1998</v>
      </c>
      <c r="B12" s="7" t="n">
        <v>8598.805700000001</v>
      </c>
      <c r="C12" s="7" t="n">
        <v>19.1</v>
      </c>
      <c r="D12" s="7">
        <f>B12-$B$37</f>
        <v/>
      </c>
      <c r="E12" s="7">
        <f>C12-$C$37</f>
        <v/>
      </c>
      <c r="F12" s="7">
        <f>D12*E12</f>
        <v/>
      </c>
      <c r="G12" s="7">
        <f>D12^2</f>
        <v/>
      </c>
      <c r="H12" s="7">
        <f>E12^2</f>
        <v/>
      </c>
      <c r="I12" s="7">
        <f>$M$12+$M$11*B12</f>
        <v/>
      </c>
      <c r="K12" s="8" t="inlineStr">
        <is>
          <t>Intercepto da Reta (b₀)</t>
        </is>
      </c>
      <c r="L12" s="9">
        <f>INTERCEPÇÃO(Y; X)</f>
        <v/>
      </c>
      <c r="M12" s="12">
        <f>INTERCEPT(C6:C36,B6:B36)</f>
        <v/>
      </c>
      <c r="N12" s="12" t="n">
        <v>34.27173498524063</v>
      </c>
    </row>
    <row r="13">
      <c r="A13" s="11" t="n">
        <v>1999</v>
      </c>
      <c r="B13" s="12" t="n">
        <v>8634.6078</v>
      </c>
      <c r="C13" s="12" t="n">
        <v>20</v>
      </c>
      <c r="D13" s="12">
        <f>B13-$B$37</f>
        <v/>
      </c>
      <c r="E13" s="12">
        <f>C13-$C$37</f>
        <v/>
      </c>
      <c r="F13" s="12">
        <f>D13*E13</f>
        <v/>
      </c>
      <c r="G13" s="12">
        <f>D13^2</f>
        <v/>
      </c>
      <c r="H13" s="12">
        <f>E13^2</f>
        <v/>
      </c>
      <c r="I13" s="12">
        <f>$M$12+$M$11*B13</f>
        <v/>
      </c>
      <c r="K13" s="8" t="inlineStr">
        <is>
          <t>Média de X (x̄)</t>
        </is>
      </c>
      <c r="L13" s="9">
        <f>MÉDIA(X)</f>
        <v/>
      </c>
      <c r="M13" s="12">
        <f>AVERAGE(B6:B36)</f>
        <v/>
      </c>
      <c r="N13" s="12" t="n">
        <v>12885.02671302953</v>
      </c>
    </row>
    <row r="14">
      <c r="A14" s="6" t="n">
        <v>2001</v>
      </c>
      <c r="B14" s="7" t="n">
        <v>9303.6453</v>
      </c>
      <c r="C14" s="7" t="n">
        <v>17.5</v>
      </c>
      <c r="D14" s="7">
        <f>B14-$B$37</f>
        <v/>
      </c>
      <c r="E14" s="7">
        <f>C14-$C$37</f>
        <v/>
      </c>
      <c r="F14" s="7">
        <f>D14*E14</f>
        <v/>
      </c>
      <c r="G14" s="7">
        <f>D14^2</f>
        <v/>
      </c>
      <c r="H14" s="7">
        <f>E14^2</f>
        <v/>
      </c>
      <c r="I14" s="7">
        <f>$M$12+$M$11*B14</f>
        <v/>
      </c>
      <c r="K14" s="8" t="inlineStr">
        <is>
          <t>Média de Y (ȳ)</t>
        </is>
      </c>
      <c r="L14" s="9">
        <f>MÉDIA(Y)</f>
        <v/>
      </c>
      <c r="M14" s="12">
        <f>AVERAGE(C6:C36)</f>
        <v/>
      </c>
      <c r="N14" s="12" t="n">
        <v>12.43870967741935</v>
      </c>
    </row>
    <row r="15">
      <c r="A15" s="11" t="n">
        <v>2002</v>
      </c>
      <c r="B15" s="12" t="n">
        <v>9616.5949</v>
      </c>
      <c r="C15" s="12" t="n">
        <v>16.2</v>
      </c>
      <c r="D15" s="12">
        <f>B15-$B$37</f>
        <v/>
      </c>
      <c r="E15" s="12">
        <f>C15-$C$37</f>
        <v/>
      </c>
      <c r="F15" s="12">
        <f>D15*E15</f>
        <v/>
      </c>
      <c r="G15" s="12">
        <f>D15^2</f>
        <v/>
      </c>
      <c r="H15" s="12">
        <f>E15^2</f>
        <v/>
      </c>
      <c r="I15" s="12">
        <f>$M$12+$M$11*B15</f>
        <v/>
      </c>
      <c r="K15" s="8" t="inlineStr">
        <is>
          <t>Desvio-Padrão Amostral de X (sₓ)</t>
        </is>
      </c>
      <c r="L15" s="9">
        <f>DESVPAD.A(X)</f>
        <v/>
      </c>
      <c r="M15" s="12">
        <f>STDEV.S(B6:B36)</f>
        <v/>
      </c>
      <c r="N15" s="12" t="n">
        <v>4268.795352104451</v>
      </c>
    </row>
    <row r="16">
      <c r="A16" s="6" t="n">
        <v>2003</v>
      </c>
      <c r="B16" s="7" t="n">
        <v>9801.962100000001</v>
      </c>
      <c r="C16" s="7" t="n">
        <v>17.1</v>
      </c>
      <c r="D16" s="7">
        <f>B16-$B$37</f>
        <v/>
      </c>
      <c r="E16" s="7">
        <f>C16-$C$37</f>
        <v/>
      </c>
      <c r="F16" s="7">
        <f>D16*E16</f>
        <v/>
      </c>
      <c r="G16" s="7">
        <f>D16^2</f>
        <v/>
      </c>
      <c r="H16" s="7">
        <f>E16^2</f>
        <v/>
      </c>
      <c r="I16" s="7">
        <f>$M$12+$M$11*B16</f>
        <v/>
      </c>
      <c r="K16" s="8" t="inlineStr">
        <is>
          <t>Desvio-Padrão Amostral de Y (sᵧ)</t>
        </is>
      </c>
      <c r="L16" s="9">
        <f>DESVPAD.A(Y)</f>
        <v/>
      </c>
      <c r="M16" s="12">
        <f>STDEV.S(C6:C36)</f>
        <v/>
      </c>
      <c r="N16" s="12" t="n">
        <v>8.012518431361217</v>
      </c>
    </row>
    <row r="17">
      <c r="A17" s="11" t="n">
        <v>2004</v>
      </c>
      <c r="B17" s="12" t="n">
        <v>10525.7114</v>
      </c>
      <c r="C17" s="12" t="n">
        <v>15.3</v>
      </c>
      <c r="D17" s="12">
        <f>B17-$B$37</f>
        <v/>
      </c>
      <c r="E17" s="12">
        <f>C17-$C$37</f>
        <v/>
      </c>
      <c r="F17" s="12">
        <f>D17*E17</f>
        <v/>
      </c>
      <c r="G17" s="12">
        <f>D17^2</f>
        <v/>
      </c>
      <c r="H17" s="12">
        <f>E17^2</f>
        <v/>
      </c>
      <c r="I17" s="12">
        <f>$M$12+$M$11*B17</f>
        <v/>
      </c>
      <c r="K17" s="8" t="inlineStr">
        <is>
          <t>Estatística t de Student</t>
        </is>
      </c>
      <c r="L17" s="9" t="inlineStr">
        <is>
          <t>r·√(n-2)/√(1-r²)</t>
        </is>
      </c>
      <c r="M17" s="18">
        <f>M7*SQRT((M6-2)/(1-M7^2))</f>
        <v/>
      </c>
      <c r="N17" s="18" t="n">
        <v>-11.30099618659067</v>
      </c>
    </row>
    <row r="18">
      <c r="A18" s="6" t="n">
        <v>2005</v>
      </c>
      <c r="B18" s="7" t="n">
        <v>11081.2475</v>
      </c>
      <c r="C18" s="7" t="n">
        <v>13.7</v>
      </c>
      <c r="D18" s="7">
        <f>B18-$B$37</f>
        <v/>
      </c>
      <c r="E18" s="7">
        <f>C18-$C$37</f>
        <v/>
      </c>
      <c r="F18" s="7">
        <f>D18*E18</f>
        <v/>
      </c>
      <c r="G18" s="7">
        <f>D18^2</f>
        <v/>
      </c>
      <c r="H18" s="7">
        <f>E18^2</f>
        <v/>
      </c>
      <c r="I18" s="7">
        <f>$M$12+$M$11*B18</f>
        <v/>
      </c>
      <c r="K18" s="8" t="inlineStr">
        <is>
          <t>Valor-p (Significância bilateral)</t>
        </is>
      </c>
      <c r="L18" s="9" t="inlineStr">
        <is>
          <t>Teste t / SciPy</t>
        </is>
      </c>
      <c r="M18" s="19" t="n">
        <v>3.837707032955261e-12</v>
      </c>
      <c r="N18" s="19" t="n">
        <v>3.837707032955261e-12</v>
      </c>
    </row>
    <row r="19">
      <c r="A19" s="11" t="n">
        <v>2006</v>
      </c>
      <c r="B19" s="12" t="n">
        <v>11750.5312</v>
      </c>
      <c r="C19" s="12" t="n">
        <v>11.4</v>
      </c>
      <c r="D19" s="12">
        <f>B19-$B$37</f>
        <v/>
      </c>
      <c r="E19" s="12">
        <f>C19-$C$37</f>
        <v/>
      </c>
      <c r="F19" s="12">
        <f>D19*E19</f>
        <v/>
      </c>
      <c r="G19" s="12">
        <f>D19^2</f>
        <v/>
      </c>
      <c r="H19" s="12">
        <f>E19^2</f>
        <v/>
      </c>
      <c r="I19" s="12">
        <f>$M$12+$M$11*B19</f>
        <v/>
      </c>
    </row>
    <row r="20">
      <c r="A20" s="6" t="n">
        <v>2007</v>
      </c>
      <c r="B20" s="7" t="n">
        <v>12672.5051</v>
      </c>
      <c r="C20" s="7" t="n">
        <v>10.8</v>
      </c>
      <c r="D20" s="7">
        <f>B20-$B$37</f>
        <v/>
      </c>
      <c r="E20" s="7">
        <f>C20-$C$37</f>
        <v/>
      </c>
      <c r="F20" s="7">
        <f>D20*E20</f>
        <v/>
      </c>
      <c r="G20" s="7">
        <f>D20^2</f>
        <v/>
      </c>
      <c r="H20" s="7">
        <f>E20^2</f>
        <v/>
      </c>
      <c r="I20" s="7">
        <f>$M$12+$M$11*B20</f>
        <v/>
      </c>
      <c r="K20" s="20" t="inlineStr">
        <is>
          <t>PROJEÇÃO DE CENÁRIOS FUTUROS (REGRESSÃO LINEAR NO EXCEL)</t>
        </is>
      </c>
    </row>
    <row r="21">
      <c r="A21" s="11" t="n">
        <v>2008</v>
      </c>
      <c r="B21" s="12" t="n">
        <v>13445.2455</v>
      </c>
      <c r="C21" s="12" t="n">
        <v>9.1</v>
      </c>
      <c r="D21" s="12">
        <f>B21-$B$37</f>
        <v/>
      </c>
      <c r="E21" s="12">
        <f>C21-$C$37</f>
        <v/>
      </c>
      <c r="F21" s="12">
        <f>D21*E21</f>
        <v/>
      </c>
      <c r="G21" s="12">
        <f>D21^2</f>
        <v/>
      </c>
      <c r="H21" s="12">
        <f>E21^2</f>
        <v/>
      </c>
      <c r="I21" s="12">
        <f>$M$12+$M$11*B21</f>
        <v/>
      </c>
      <c r="K21" s="21" t="inlineStr">
        <is>
          <t>Cenário Projetado</t>
        </is>
      </c>
      <c r="L21" s="21" t="inlineStr">
        <is>
          <t>Valor de X (US$ PPP)</t>
        </is>
      </c>
      <c r="M21" s="21" t="inlineStr">
        <is>
          <t>Ŷ via Fórmula Excel</t>
        </is>
      </c>
      <c r="N21" s="21" t="inlineStr">
        <is>
          <t>Ŷ Esperado (% da População)</t>
        </is>
      </c>
    </row>
    <row r="22">
      <c r="A22" s="6" t="n">
        <v>2009</v>
      </c>
      <c r="B22" s="7" t="n">
        <v>13390.6831</v>
      </c>
      <c r="C22" s="7" t="n">
        <v>8.4</v>
      </c>
      <c r="D22" s="7">
        <f>B22-$B$37</f>
        <v/>
      </c>
      <c r="E22" s="7">
        <f>C22-$C$37</f>
        <v/>
      </c>
      <c r="F22" s="7">
        <f>D22*E22</f>
        <v/>
      </c>
      <c r="G22" s="7">
        <f>D22^2</f>
        <v/>
      </c>
      <c r="H22" s="7">
        <f>E22^2</f>
        <v/>
      </c>
      <c r="I22" s="7">
        <f>$M$12+$M$11*B22</f>
        <v/>
      </c>
      <c r="K22" s="22" t="inlineStr">
        <is>
          <t>Cenário 1: PIB per capita = US$ 24.000 PPP</t>
        </is>
      </c>
      <c r="L22" s="7" t="n">
        <v>24000</v>
      </c>
      <c r="M22" s="7">
        <f>$M$12+$M$11*L22</f>
        <v/>
      </c>
      <c r="N22" s="7" t="n">
        <v>-6.4</v>
      </c>
    </row>
    <row r="23">
      <c r="A23" s="11" t="n">
        <v>2011</v>
      </c>
      <c r="B23" s="12" t="n">
        <v>15211.792</v>
      </c>
      <c r="C23" s="12" t="n">
        <v>7.1</v>
      </c>
      <c r="D23" s="12">
        <f>B23-$B$37</f>
        <v/>
      </c>
      <c r="E23" s="12">
        <f>C23-$C$37</f>
        <v/>
      </c>
      <c r="F23" s="12">
        <f>D23*E23</f>
        <v/>
      </c>
      <c r="G23" s="12">
        <f>D23^2</f>
        <v/>
      </c>
      <c r="H23" s="12">
        <f>E23^2</f>
        <v/>
      </c>
      <c r="I23" s="12">
        <f>$M$12+$M$11*B23</f>
        <v/>
      </c>
      <c r="K23" s="22" t="inlineStr">
        <is>
          <t>Cenário 2: PIB per capita = US$ 25.000 PPP</t>
        </is>
      </c>
      <c r="L23" s="7" t="n">
        <v>25000</v>
      </c>
      <c r="M23" s="7">
        <f>$M$12+$M$11*L23</f>
        <v/>
      </c>
      <c r="N23" s="7" t="n">
        <v>-8.09</v>
      </c>
    </row>
    <row r="24">
      <c r="A24" s="6" t="n">
        <v>2012</v>
      </c>
      <c r="B24" s="7" t="n">
        <v>15198.0863</v>
      </c>
      <c r="C24" s="7" t="n">
        <v>6.4</v>
      </c>
      <c r="D24" s="7">
        <f>B24-$B$37</f>
        <v/>
      </c>
      <c r="E24" s="7">
        <f>C24-$C$37</f>
        <v/>
      </c>
      <c r="F24" s="7">
        <f>D24*E24</f>
        <v/>
      </c>
      <c r="G24" s="7">
        <f>D24^2</f>
        <v/>
      </c>
      <c r="H24" s="7">
        <f>E24^2</f>
        <v/>
      </c>
      <c r="I24" s="7">
        <f>$M$12+$M$11*B24</f>
        <v/>
      </c>
    </row>
    <row r="25">
      <c r="A25" s="11" t="n">
        <v>2013</v>
      </c>
      <c r="B25" s="12" t="n">
        <v>15722.3335</v>
      </c>
      <c r="C25" s="12" t="n">
        <v>5.4</v>
      </c>
      <c r="D25" s="12">
        <f>B25-$B$37</f>
        <v/>
      </c>
      <c r="E25" s="12">
        <f>C25-$C$37</f>
        <v/>
      </c>
      <c r="F25" s="12">
        <f>D25*E25</f>
        <v/>
      </c>
      <c r="G25" s="12">
        <f>D25^2</f>
        <v/>
      </c>
      <c r="H25" s="12">
        <f>E25^2</f>
        <v/>
      </c>
      <c r="I25" s="12">
        <f>$M$12+$M$11*B25</f>
        <v/>
      </c>
    </row>
    <row r="26">
      <c r="A26" s="6" t="n">
        <v>2014</v>
      </c>
      <c r="B26" s="7" t="n">
        <v>15827.3082</v>
      </c>
      <c r="C26" s="7" t="n">
        <v>4.8</v>
      </c>
      <c r="D26" s="7">
        <f>B26-$B$37</f>
        <v/>
      </c>
      <c r="E26" s="7">
        <f>C26-$C$37</f>
        <v/>
      </c>
      <c r="F26" s="7">
        <f>D26*E26</f>
        <v/>
      </c>
      <c r="G26" s="7">
        <f>D26^2</f>
        <v/>
      </c>
      <c r="H26" s="7">
        <f>E26^2</f>
        <v/>
      </c>
      <c r="I26" s="7">
        <f>$M$12+$M$11*B26</f>
        <v/>
      </c>
    </row>
    <row r="27">
      <c r="A27" s="11" t="n">
        <v>2015</v>
      </c>
      <c r="B27" s="12" t="n">
        <v>14821.4383</v>
      </c>
      <c r="C27" s="12" t="n">
        <v>5.4</v>
      </c>
      <c r="D27" s="12">
        <f>B27-$B$37</f>
        <v/>
      </c>
      <c r="E27" s="12">
        <f>C27-$C$37</f>
        <v/>
      </c>
      <c r="F27" s="12">
        <f>D27*E27</f>
        <v/>
      </c>
      <c r="G27" s="12">
        <f>D27^2</f>
        <v/>
      </c>
      <c r="H27" s="12">
        <f>E27^2</f>
        <v/>
      </c>
      <c r="I27" s="12">
        <f>$M$12+$M$11*B27</f>
        <v/>
      </c>
    </row>
    <row r="28">
      <c r="A28" s="6" t="n">
        <v>2016</v>
      </c>
      <c r="B28" s="7" t="n">
        <v>14309.2061</v>
      </c>
      <c r="C28" s="7" t="n">
        <v>6.5</v>
      </c>
      <c r="D28" s="7">
        <f>B28-$B$37</f>
        <v/>
      </c>
      <c r="E28" s="7">
        <f>C28-$C$37</f>
        <v/>
      </c>
      <c r="F28" s="7">
        <f>D28*E28</f>
        <v/>
      </c>
      <c r="G28" s="7">
        <f>D28^2</f>
        <v/>
      </c>
      <c r="H28" s="7">
        <f>E28^2</f>
        <v/>
      </c>
      <c r="I28" s="7">
        <f>$M$12+$M$11*B28</f>
        <v/>
      </c>
    </row>
    <row r="29">
      <c r="A29" s="11" t="n">
        <v>2017</v>
      </c>
      <c r="B29" s="12" t="n">
        <v>14559.0489</v>
      </c>
      <c r="C29" s="12" t="n">
        <v>7</v>
      </c>
      <c r="D29" s="12">
        <f>B29-$B$37</f>
        <v/>
      </c>
      <c r="E29" s="12">
        <f>C29-$C$37</f>
        <v/>
      </c>
      <c r="F29" s="12">
        <f>D29*E29</f>
        <v/>
      </c>
      <c r="G29" s="12">
        <f>D29^2</f>
        <v/>
      </c>
      <c r="H29" s="12">
        <f>E29^2</f>
        <v/>
      </c>
      <c r="I29" s="12">
        <f>$M$12+$M$11*B29</f>
        <v/>
      </c>
    </row>
    <row r="30">
      <c r="A30" s="6" t="n">
        <v>2018</v>
      </c>
      <c r="B30" s="7" t="n">
        <v>15463.7426</v>
      </c>
      <c r="C30" s="7" t="n">
        <v>6.9</v>
      </c>
      <c r="D30" s="7">
        <f>B30-$B$37</f>
        <v/>
      </c>
      <c r="E30" s="7">
        <f>C30-$C$37</f>
        <v/>
      </c>
      <c r="F30" s="7">
        <f>D30*E30</f>
        <v/>
      </c>
      <c r="G30" s="7">
        <f>D30^2</f>
        <v/>
      </c>
      <c r="H30" s="7">
        <f>E30^2</f>
        <v/>
      </c>
      <c r="I30" s="7">
        <f>$M$12+$M$11*B30</f>
        <v/>
      </c>
    </row>
    <row r="31">
      <c r="A31" s="11" t="n">
        <v>2019</v>
      </c>
      <c r="B31" s="12" t="n">
        <v>16069.838</v>
      </c>
      <c r="C31" s="12" t="n">
        <v>7</v>
      </c>
      <c r="D31" s="12">
        <f>B31-$B$37</f>
        <v/>
      </c>
      <c r="E31" s="12">
        <f>C31-$C$37</f>
        <v/>
      </c>
      <c r="F31" s="12">
        <f>D31*E31</f>
        <v/>
      </c>
      <c r="G31" s="12">
        <f>D31^2</f>
        <v/>
      </c>
      <c r="H31" s="12">
        <f>E31^2</f>
        <v/>
      </c>
      <c r="I31" s="12">
        <f>$M$12+$M$11*B31</f>
        <v/>
      </c>
    </row>
    <row r="32">
      <c r="A32" s="6" t="n">
        <v>2020</v>
      </c>
      <c r="B32" s="7" t="n">
        <v>16101.6183</v>
      </c>
      <c r="C32" s="7" t="n">
        <v>2.8</v>
      </c>
      <c r="D32" s="7">
        <f>B32-$B$37</f>
        <v/>
      </c>
      <c r="E32" s="7">
        <f>C32-$C$37</f>
        <v/>
      </c>
      <c r="F32" s="7">
        <f>D32*E32</f>
        <v/>
      </c>
      <c r="G32" s="7">
        <f>D32^2</f>
        <v/>
      </c>
      <c r="H32" s="7">
        <f>E32^2</f>
        <v/>
      </c>
      <c r="I32" s="7">
        <f>$M$12+$M$11*B32</f>
        <v/>
      </c>
    </row>
    <row r="33">
      <c r="A33" s="11" t="n">
        <v>2021</v>
      </c>
      <c r="B33" s="12" t="n">
        <v>18075.706</v>
      </c>
      <c r="C33" s="12" t="n">
        <v>7.5</v>
      </c>
      <c r="D33" s="12">
        <f>B33-$B$37</f>
        <v/>
      </c>
      <c r="E33" s="12">
        <f>C33-$C$37</f>
        <v/>
      </c>
      <c r="F33" s="12">
        <f>D33*E33</f>
        <v/>
      </c>
      <c r="G33" s="12">
        <f>D33^2</f>
        <v/>
      </c>
      <c r="H33" s="12">
        <f>E33^2</f>
        <v/>
      </c>
      <c r="I33" s="12">
        <f>$M$12+$M$11*B33</f>
        <v/>
      </c>
    </row>
    <row r="34">
      <c r="A34" s="6" t="n">
        <v>2022</v>
      </c>
      <c r="B34" s="7" t="n">
        <v>19873.7033</v>
      </c>
      <c r="C34" s="7" t="n">
        <v>4.9</v>
      </c>
      <c r="D34" s="7">
        <f>B34-$B$37</f>
        <v/>
      </c>
      <c r="E34" s="7">
        <f>C34-$C$37</f>
        <v/>
      </c>
      <c r="F34" s="7">
        <f>D34*E34</f>
        <v/>
      </c>
      <c r="G34" s="7">
        <f>D34^2</f>
        <v/>
      </c>
      <c r="H34" s="7">
        <f>E34^2</f>
        <v/>
      </c>
      <c r="I34" s="7">
        <f>$M$12+$M$11*B34</f>
        <v/>
      </c>
    </row>
    <row r="35">
      <c r="A35" s="11" t="n">
        <v>2023</v>
      </c>
      <c r="B35" s="12" t="n">
        <v>21193.0721</v>
      </c>
      <c r="C35" s="12" t="n">
        <v>3.8</v>
      </c>
      <c r="D35" s="12">
        <f>B35-$B$37</f>
        <v/>
      </c>
      <c r="E35" s="12">
        <f>C35-$C$37</f>
        <v/>
      </c>
      <c r="F35" s="12">
        <f>D35*E35</f>
        <v/>
      </c>
      <c r="G35" s="12">
        <f>D35^2</f>
        <v/>
      </c>
      <c r="H35" s="12">
        <f>E35^2</f>
        <v/>
      </c>
      <c r="I35" s="12">
        <f>$M$12+$M$11*B35</f>
        <v/>
      </c>
    </row>
    <row r="36">
      <c r="A36" s="6" t="n">
        <v>2024</v>
      </c>
      <c r="B36" s="7" t="n">
        <v>22370.9182</v>
      </c>
      <c r="C36" s="7" t="n">
        <v>3</v>
      </c>
      <c r="D36" s="7">
        <f>B36-$B$37</f>
        <v/>
      </c>
      <c r="E36" s="7">
        <f>C36-$C$37</f>
        <v/>
      </c>
      <c r="F36" s="7">
        <f>D36*E36</f>
        <v/>
      </c>
      <c r="G36" s="7">
        <f>D36^2</f>
        <v/>
      </c>
      <c r="H36" s="7">
        <f>E36^2</f>
        <v/>
      </c>
      <c r="I36" s="7">
        <f>$M$12+$M$11*B36</f>
        <v/>
      </c>
    </row>
    <row r="37">
      <c r="A37" s="23" t="inlineStr">
        <is>
          <t>MÉDIA / SOMA</t>
        </is>
      </c>
      <c r="B37" s="24">
        <f>AVERAGE(B6:B36)</f>
        <v/>
      </c>
      <c r="C37" s="24">
        <f>AVERAGE(C6:C36)</f>
        <v/>
      </c>
      <c r="D37" s="25">
        <f>SUM(D6:D36)</f>
        <v/>
      </c>
      <c r="E37" s="25">
        <f>SUM(E6:E36)</f>
        <v/>
      </c>
      <c r="F37" s="24">
        <f>SUM(F6:F36)</f>
        <v/>
      </c>
      <c r="G37" s="24">
        <f>SUM(G6:G36)</f>
        <v/>
      </c>
      <c r="H37" s="24">
        <f>SUM(H6:H36)</f>
        <v/>
      </c>
      <c r="I37" s="24">
        <f>AVERAGE(I6:I36)</f>
        <v/>
      </c>
    </row>
    <row r="40">
      <c r="A40" s="26" t="inlineStr">
        <is>
          <t>CONCLUSÃO TÉCNICA SOBRE A ANÁLISE DE CORRELAÇÃO DE PEARSON E REGRESSÃO</t>
        </is>
      </c>
    </row>
    <row r="41">
      <c r="A41" s="27" t="inlineStr">
        <is>
          <t>1. FORÇA E DIREÇÃO DA CORRELAÇÃO: A análise entre o PIB per capita PPP (X) e a Taxa de Extrema Pobreza (Y) no Brasil (1990–2024, n = 31) apresenta coeficiente de Pearson r = -0.9027 (p-valor = 3.84e-12) e R² = 0.8149. Constata-se uma CORRELAÇÃO LINEAR NEGATIVA MUITO FORTE: à medida que a renda per capita nacional se expandiu de US$ 6.688 para mais de US$ 22.370 PPP, a proporção da população em extrema pobreza recuou de 25,7% (1990) para 3,0% (2024).
2. CONCLUSÃO SOCIOECONÔMICA: Cada acréscimo de US$ 1.000 no PIB per capita PPP esteve associado a uma redução média de 1.69 pontos percentuais na extrema pobreza, comprovando a eficácia combinada do crescimento econômico, estabilização monetária pós-Plano Real e políticas de transferência de renda.</t>
        </is>
      </c>
    </row>
    <row r="42"/>
    <row r="43"/>
    <row r="44"/>
    <row r="45"/>
    <row r="46"/>
    <row r="47"/>
    <row r="48"/>
  </sheetData>
  <mergeCells count="6">
    <mergeCell ref="A2:I3"/>
    <mergeCell ref="A41:I48"/>
    <mergeCell ref="A1:I1"/>
    <mergeCell ref="A40:I40"/>
    <mergeCell ref="K20:N20"/>
    <mergeCell ref="K5:N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28" t="inlineStr">
        <is>
          <t>Ano</t>
        </is>
      </c>
      <c r="B1" s="28" t="inlineStr">
        <is>
          <t>Taxa_Fertilidade_Filhos_Mulher</t>
        </is>
      </c>
      <c r="C1" s="28" t="inlineStr">
        <is>
          <t>Expectativa_Vida_Anos</t>
        </is>
      </c>
      <c r="D1" s="28" t="inlineStr">
        <is>
          <t>Mortalidade_Infantil_por_1000</t>
        </is>
      </c>
      <c r="E1" s="28" t="inlineStr">
        <is>
          <t>Taxa_Desemprego_perc</t>
        </is>
      </c>
      <c r="F1" s="28" t="inlineStr">
        <is>
          <t>Indice_Gini</t>
        </is>
      </c>
      <c r="G1" s="28" t="inlineStr">
        <is>
          <t>Pobreza_Extrema_perc</t>
        </is>
      </c>
      <c r="H1" s="28" t="inlineStr">
        <is>
          <t>Taxa_Alfabetizacao_Adultos_perc</t>
        </is>
      </c>
      <c r="I1" s="28" t="inlineStr">
        <is>
          <t>PIB_per_capita_PPP_USD</t>
        </is>
      </c>
      <c r="J1" s="28" t="inlineStr">
        <is>
          <t>Uso_Energia_kg_Petroleo_pc</t>
        </is>
      </c>
      <c r="K1" s="28" t="inlineStr">
        <is>
          <t>Consumo_Energia_Eletrica_kWh_pc</t>
        </is>
      </c>
    </row>
    <row r="2">
      <c r="A2" t="n">
        <v>1990</v>
      </c>
      <c r="B2" t="n">
        <v>2.896</v>
      </c>
      <c r="C2" t="n">
        <v>65.86199999999999</v>
      </c>
      <c r="D2" t="n">
        <v>51.9</v>
      </c>
      <c r="F2" t="n">
        <v>60.5</v>
      </c>
      <c r="G2" t="n">
        <v>30.3</v>
      </c>
      <c r="I2" t="n">
        <v>6687.92294863479</v>
      </c>
      <c r="J2" t="n">
        <v>942.317182249676</v>
      </c>
      <c r="K2" t="n">
        <v>1459.3891403299</v>
      </c>
    </row>
    <row r="3">
      <c r="A3" t="n">
        <v>1991</v>
      </c>
      <c r="B3" t="n">
        <v>2.805</v>
      </c>
      <c r="C3" t="n">
        <v>66.203</v>
      </c>
      <c r="D3" t="n">
        <v>49.8</v>
      </c>
      <c r="E3" t="n">
        <v>6.887</v>
      </c>
      <c r="I3" t="n">
        <v>6866.63038029024</v>
      </c>
      <c r="J3" t="n">
        <v>943.263545697103</v>
      </c>
      <c r="K3" t="n">
        <v>1485.47770766462</v>
      </c>
    </row>
    <row r="4">
      <c r="A4" t="n">
        <v>1992</v>
      </c>
      <c r="B4" t="n">
        <v>2.71</v>
      </c>
      <c r="C4" t="n">
        <v>66.539</v>
      </c>
      <c r="D4" t="n">
        <v>47.4</v>
      </c>
      <c r="E4" t="n">
        <v>7.086</v>
      </c>
      <c r="F4" t="n">
        <v>53.1</v>
      </c>
      <c r="G4" t="n">
        <v>29.4</v>
      </c>
      <c r="I4" t="n">
        <v>6869.41000558486</v>
      </c>
      <c r="J4" t="n">
        <v>937.431462820155</v>
      </c>
      <c r="K4" t="n">
        <v>1493.90946025703</v>
      </c>
    </row>
    <row r="5">
      <c r="A5" t="n">
        <v>1993</v>
      </c>
      <c r="B5" t="n">
        <v>2.66</v>
      </c>
      <c r="C5" t="n">
        <v>66.892</v>
      </c>
      <c r="D5" t="n">
        <v>44.9</v>
      </c>
      <c r="E5" t="n">
        <v>6.03</v>
      </c>
      <c r="F5" t="n">
        <v>60.1</v>
      </c>
      <c r="G5" t="n">
        <v>28.2</v>
      </c>
      <c r="I5" t="n">
        <v>7259.9888570692</v>
      </c>
      <c r="J5" t="n">
        <v>945.489101780969</v>
      </c>
      <c r="K5" t="n">
        <v>1538.12717642652</v>
      </c>
    </row>
    <row r="6">
      <c r="A6" t="n">
        <v>1994</v>
      </c>
      <c r="B6" t="n">
        <v>2.603</v>
      </c>
      <c r="C6" t="n">
        <v>67.29300000000001</v>
      </c>
      <c r="D6" t="n">
        <v>42.4</v>
      </c>
      <c r="E6" t="n">
        <v>6.579</v>
      </c>
      <c r="I6" t="n">
        <v>7727.24541745244</v>
      </c>
      <c r="J6" t="n">
        <v>980.074664998028</v>
      </c>
      <c r="K6" t="n">
        <v>1568.41107958141</v>
      </c>
    </row>
    <row r="7">
      <c r="A7" t="n">
        <v>1995</v>
      </c>
      <c r="B7" t="n">
        <v>2.567</v>
      </c>
      <c r="C7" t="n">
        <v>67.70099999999999</v>
      </c>
      <c r="D7" t="n">
        <v>39.9</v>
      </c>
      <c r="E7" t="n">
        <v>7.092</v>
      </c>
      <c r="F7" t="n">
        <v>59.5</v>
      </c>
      <c r="G7" t="n">
        <v>19.5</v>
      </c>
      <c r="I7" t="n">
        <v>8096.91149152154</v>
      </c>
      <c r="J7" t="n">
        <v>998.777374735819</v>
      </c>
      <c r="K7" t="n">
        <v>1637.27628824207</v>
      </c>
    </row>
    <row r="8">
      <c r="A8" t="n">
        <v>1996</v>
      </c>
      <c r="B8" t="n">
        <v>2.511</v>
      </c>
      <c r="C8" t="n">
        <v>68.108</v>
      </c>
      <c r="D8" t="n">
        <v>37.5</v>
      </c>
      <c r="E8" t="n">
        <v>8.035</v>
      </c>
      <c r="F8" t="n">
        <v>59.8</v>
      </c>
      <c r="G8" t="n">
        <v>20.7</v>
      </c>
      <c r="I8" t="n">
        <v>8300.63414117184</v>
      </c>
      <c r="J8" t="n">
        <v>1035.82555427523</v>
      </c>
      <c r="K8" t="n">
        <v>1691.31966398402</v>
      </c>
    </row>
    <row r="9">
      <c r="A9" t="n">
        <v>1997</v>
      </c>
      <c r="B9" t="n">
        <v>2.468</v>
      </c>
      <c r="C9" t="n">
        <v>68.505</v>
      </c>
      <c r="D9" t="n">
        <v>35.2</v>
      </c>
      <c r="E9" t="n">
        <v>9.003</v>
      </c>
      <c r="F9" t="n">
        <v>59.8</v>
      </c>
      <c r="G9" t="n">
        <v>20.4</v>
      </c>
      <c r="I9" t="n">
        <v>8601.60903056861</v>
      </c>
      <c r="J9" t="n">
        <v>1072.29461426603</v>
      </c>
      <c r="K9" t="n">
        <v>1768.19912731098</v>
      </c>
    </row>
    <row r="10">
      <c r="A10" t="n">
        <v>1998</v>
      </c>
      <c r="B10" t="n">
        <v>2.418</v>
      </c>
      <c r="C10" t="n">
        <v>68.848</v>
      </c>
      <c r="D10" t="n">
        <v>33.1</v>
      </c>
      <c r="E10" t="n">
        <v>10.15</v>
      </c>
      <c r="F10" t="n">
        <v>59.6</v>
      </c>
      <c r="G10" t="n">
        <v>19.1</v>
      </c>
      <c r="I10" t="n">
        <v>8598.805691769419</v>
      </c>
      <c r="J10" t="n">
        <v>1082.21810429873</v>
      </c>
      <c r="K10" t="n">
        <v>1815.03089492586</v>
      </c>
    </row>
    <row r="11">
      <c r="A11" t="n">
        <v>1999</v>
      </c>
      <c r="B11" t="n">
        <v>2.335</v>
      </c>
      <c r="C11" t="n">
        <v>69.211</v>
      </c>
      <c r="D11" t="n">
        <v>31.1</v>
      </c>
      <c r="E11" t="n">
        <v>11.125</v>
      </c>
      <c r="F11" t="n">
        <v>59</v>
      </c>
      <c r="G11" t="n">
        <v>20</v>
      </c>
      <c r="I11" t="n">
        <v>8634.60784538726</v>
      </c>
      <c r="J11" t="n">
        <v>1091.29495874763</v>
      </c>
      <c r="K11" t="n">
        <v>1839.60709325481</v>
      </c>
    </row>
    <row r="12">
      <c r="A12" t="n">
        <v>2000</v>
      </c>
      <c r="B12" t="n">
        <v>2.247</v>
      </c>
      <c r="C12" t="n">
        <v>69.584</v>
      </c>
      <c r="D12" t="n">
        <v>29.1</v>
      </c>
      <c r="E12" t="n">
        <v>10.889</v>
      </c>
      <c r="H12" t="n">
        <v>86.370002746582</v>
      </c>
      <c r="I12" t="n">
        <v>9091.76851342904</v>
      </c>
      <c r="J12" t="n">
        <v>1081.36193393467</v>
      </c>
      <c r="K12" t="n">
        <v>1905.7710269775</v>
      </c>
    </row>
    <row r="13">
      <c r="A13" t="n">
        <v>2001</v>
      </c>
      <c r="B13" t="n">
        <v>2.162</v>
      </c>
      <c r="C13" t="n">
        <v>69.98</v>
      </c>
      <c r="D13" t="n">
        <v>27.3</v>
      </c>
      <c r="E13" t="n">
        <v>10.649</v>
      </c>
      <c r="F13" t="n">
        <v>58.4</v>
      </c>
      <c r="G13" t="n">
        <v>17.5</v>
      </c>
      <c r="I13" t="n">
        <v>9303.645292095231</v>
      </c>
      <c r="J13" t="n">
        <v>1086.99299318566</v>
      </c>
      <c r="K13" t="n">
        <v>1756.81160837002</v>
      </c>
    </row>
    <row r="14">
      <c r="A14" t="n">
        <v>2002</v>
      </c>
      <c r="B14" t="n">
        <v>2.081</v>
      </c>
      <c r="C14" t="n">
        <v>70.396</v>
      </c>
      <c r="D14" t="n">
        <v>25.6</v>
      </c>
      <c r="E14" t="n">
        <v>10.641</v>
      </c>
      <c r="F14" t="n">
        <v>58.1</v>
      </c>
      <c r="G14" t="n">
        <v>16.2</v>
      </c>
      <c r="I14" t="n">
        <v>9616.59485480438</v>
      </c>
      <c r="J14" t="n">
        <v>1103.40127916211</v>
      </c>
      <c r="K14" t="n">
        <v>1817.13540112192</v>
      </c>
    </row>
    <row r="15">
      <c r="A15" t="n">
        <v>2003</v>
      </c>
      <c r="B15" t="n">
        <v>2.006</v>
      </c>
      <c r="C15" t="n">
        <v>70.884</v>
      </c>
      <c r="D15" t="n">
        <v>24</v>
      </c>
      <c r="E15" t="n">
        <v>11.168</v>
      </c>
      <c r="F15" t="n">
        <v>57.6</v>
      </c>
      <c r="G15" t="n">
        <v>17.1</v>
      </c>
      <c r="I15" t="n">
        <v>9801.96212457649</v>
      </c>
      <c r="J15" t="n">
        <v>1107.9739157885</v>
      </c>
      <c r="K15" t="n">
        <v>1894.62909554308</v>
      </c>
    </row>
    <row r="16">
      <c r="A16" t="n">
        <v>2004</v>
      </c>
      <c r="B16" t="n">
        <v>1.973</v>
      </c>
      <c r="C16" t="n">
        <v>71.361</v>
      </c>
      <c r="D16" t="n">
        <v>22.4</v>
      </c>
      <c r="E16" t="n">
        <v>10.072</v>
      </c>
      <c r="F16" t="n">
        <v>56.5</v>
      </c>
      <c r="G16" t="n">
        <v>15.3</v>
      </c>
      <c r="H16" t="n">
        <v>88.620002746582</v>
      </c>
      <c r="I16" t="n">
        <v>10525.7113784174</v>
      </c>
      <c r="J16" t="n">
        <v>1157.16905577095</v>
      </c>
      <c r="K16" t="n">
        <v>1970.41586550174</v>
      </c>
    </row>
    <row r="17">
      <c r="A17" t="n">
        <v>2005</v>
      </c>
      <c r="B17" t="n">
        <v>1.942</v>
      </c>
      <c r="C17" t="n">
        <v>71.83199999999999</v>
      </c>
      <c r="D17" t="n">
        <v>21</v>
      </c>
      <c r="E17" t="n">
        <v>10.551</v>
      </c>
      <c r="F17" t="n">
        <v>56.3</v>
      </c>
      <c r="G17" t="n">
        <v>13.7</v>
      </c>
      <c r="I17" t="n">
        <v>11081.2474734851</v>
      </c>
      <c r="J17" t="n">
        <v>1173.71585743449</v>
      </c>
      <c r="K17" t="n">
        <v>2031.50607953893</v>
      </c>
    </row>
    <row r="18">
      <c r="A18" t="n">
        <v>2006</v>
      </c>
      <c r="B18" t="n">
        <v>1.896</v>
      </c>
      <c r="C18" t="n">
        <v>72.29600000000001</v>
      </c>
      <c r="D18" t="n">
        <v>19.7</v>
      </c>
      <c r="E18" t="n">
        <v>9.692</v>
      </c>
      <c r="F18" t="n">
        <v>55.6</v>
      </c>
      <c r="G18" t="n">
        <v>11.4</v>
      </c>
      <c r="H18" t="n">
        <v>89.620002746582</v>
      </c>
      <c r="I18" t="n">
        <v>11750.5312440894</v>
      </c>
      <c r="J18" t="n">
        <v>1202.05933940304</v>
      </c>
      <c r="K18" t="n">
        <v>2089.17498538706</v>
      </c>
    </row>
    <row r="19">
      <c r="A19" t="n">
        <v>2007</v>
      </c>
      <c r="B19" t="n">
        <v>1.854</v>
      </c>
      <c r="C19" t="n">
        <v>72.73</v>
      </c>
      <c r="D19" t="n">
        <v>18.6</v>
      </c>
      <c r="E19" t="n">
        <v>9.279999999999999</v>
      </c>
      <c r="F19" t="n">
        <v>54.9</v>
      </c>
      <c r="G19" t="n">
        <v>10.8</v>
      </c>
      <c r="H19" t="n">
        <v>90.0100021362305</v>
      </c>
      <c r="I19" t="n">
        <v>12672.5051154867</v>
      </c>
      <c r="J19" t="n">
        <v>1259.91135986965</v>
      </c>
      <c r="K19" t="n">
        <v>2185.74876193515</v>
      </c>
    </row>
    <row r="20">
      <c r="A20" t="n">
        <v>2008</v>
      </c>
      <c r="B20" t="n">
        <v>1.815</v>
      </c>
      <c r="C20" t="n">
        <v>73.111</v>
      </c>
      <c r="D20" t="n">
        <v>17.6</v>
      </c>
      <c r="E20" t="n">
        <v>8.268000000000001</v>
      </c>
      <c r="F20" t="n">
        <v>54</v>
      </c>
      <c r="G20" t="n">
        <v>9.1</v>
      </c>
      <c r="H20" t="n">
        <v>90.0400009155273</v>
      </c>
      <c r="I20" t="n">
        <v>13445.2454693961</v>
      </c>
      <c r="J20" t="n">
        <v>1317.23578420454</v>
      </c>
      <c r="K20" t="n">
        <v>2249.32535945695</v>
      </c>
    </row>
    <row r="21">
      <c r="A21" t="n">
        <v>2009</v>
      </c>
      <c r="B21" t="n">
        <v>1.799</v>
      </c>
      <c r="C21" t="n">
        <v>73.45699999999999</v>
      </c>
      <c r="D21" t="n">
        <v>16.7</v>
      </c>
      <c r="E21" t="n">
        <v>9.419</v>
      </c>
      <c r="F21" t="n">
        <v>53.7</v>
      </c>
      <c r="G21" t="n">
        <v>8.4</v>
      </c>
      <c r="H21" t="n">
        <v>90.3000030517578</v>
      </c>
      <c r="I21" t="n">
        <v>13390.6831316005</v>
      </c>
      <c r="J21" t="n">
        <v>1262.10043812649</v>
      </c>
      <c r="K21" t="n">
        <v>2217.79002848663</v>
      </c>
    </row>
    <row r="22">
      <c r="A22" t="n">
        <v>2010</v>
      </c>
      <c r="B22" t="n">
        <v>1.786</v>
      </c>
      <c r="C22" t="n">
        <v>73.779</v>
      </c>
      <c r="D22" t="n">
        <v>16</v>
      </c>
      <c r="E22" t="n">
        <v>8.42</v>
      </c>
      <c r="H22" t="n">
        <v>90.379997253418</v>
      </c>
      <c r="I22" t="n">
        <v>14451.7158384913</v>
      </c>
      <c r="J22" t="n">
        <v>1384.36896688389</v>
      </c>
      <c r="K22" t="n">
        <v>2398.60801799243</v>
      </c>
    </row>
    <row r="23">
      <c r="A23" t="n">
        <v>2011</v>
      </c>
      <c r="B23" t="n">
        <v>1.777</v>
      </c>
      <c r="C23" t="n">
        <v>74.047</v>
      </c>
      <c r="D23" t="n">
        <v>15.3</v>
      </c>
      <c r="E23" t="n">
        <v>7.578</v>
      </c>
      <c r="F23" t="n">
        <v>52.9</v>
      </c>
      <c r="G23" t="n">
        <v>7.1</v>
      </c>
      <c r="H23" t="n">
        <v>91.4100036621094</v>
      </c>
      <c r="I23" t="n">
        <v>15211.7920391654</v>
      </c>
      <c r="J23" t="n">
        <v>1390.00783643031</v>
      </c>
      <c r="K23" t="n">
        <v>2458.55879343851</v>
      </c>
    </row>
    <row r="24">
      <c r="A24" t="n">
        <v>2012</v>
      </c>
      <c r="B24" t="n">
        <v>1.766</v>
      </c>
      <c r="C24" t="n">
        <v>74.33499999999999</v>
      </c>
      <c r="D24" t="n">
        <v>14.8</v>
      </c>
      <c r="E24" t="n">
        <v>7.251</v>
      </c>
      <c r="F24" t="n">
        <v>53.4</v>
      </c>
      <c r="G24" t="n">
        <v>6.4</v>
      </c>
      <c r="H24" t="n">
        <v>91.3399963378906</v>
      </c>
      <c r="I24" t="n">
        <v>15198.0863308622</v>
      </c>
      <c r="J24" t="n">
        <v>1433.15306444735</v>
      </c>
      <c r="K24" t="n">
        <v>2530.977463284</v>
      </c>
    </row>
    <row r="25">
      <c r="A25" t="n">
        <v>2013</v>
      </c>
      <c r="B25" t="n">
        <v>1.761</v>
      </c>
      <c r="C25" t="n">
        <v>74.60899999999999</v>
      </c>
      <c r="D25" t="n">
        <v>14.4</v>
      </c>
      <c r="E25" t="n">
        <v>7.071</v>
      </c>
      <c r="F25" t="n">
        <v>52.7</v>
      </c>
      <c r="G25" t="n">
        <v>5.4</v>
      </c>
      <c r="H25" t="n">
        <v>91.48000335693359</v>
      </c>
      <c r="I25" t="n">
        <v>15722.3335242901</v>
      </c>
      <c r="J25" t="n">
        <v>1487.45745839708</v>
      </c>
      <c r="K25" t="n">
        <v>2600.67222764742</v>
      </c>
    </row>
    <row r="26">
      <c r="A26" t="n">
        <v>2014</v>
      </c>
      <c r="B26" t="n">
        <v>1.775</v>
      </c>
      <c r="C26" t="n">
        <v>74.82299999999999</v>
      </c>
      <c r="D26" t="n">
        <v>14</v>
      </c>
      <c r="E26" t="n">
        <v>6.755</v>
      </c>
      <c r="F26" t="n">
        <v>52.1</v>
      </c>
      <c r="G26" t="n">
        <v>4.8</v>
      </c>
      <c r="H26" t="n">
        <v>91.73000335693359</v>
      </c>
      <c r="I26" t="n">
        <v>15827.3081625514</v>
      </c>
      <c r="J26" t="n">
        <v>1522.42189026812</v>
      </c>
      <c r="K26" t="n">
        <v>2690.2149503596</v>
      </c>
    </row>
    <row r="27">
      <c r="A27" t="n">
        <v>2015</v>
      </c>
      <c r="B27" t="n">
        <v>1.777</v>
      </c>
      <c r="C27" t="n">
        <v>75.10599999999999</v>
      </c>
      <c r="D27" t="n">
        <v>13.7</v>
      </c>
      <c r="E27" t="n">
        <v>8.538</v>
      </c>
      <c r="F27" t="n">
        <v>51.9</v>
      </c>
      <c r="G27" t="n">
        <v>5.4</v>
      </c>
      <c r="H27" t="n">
        <v>92.0500030517578</v>
      </c>
      <c r="I27" t="n">
        <v>14821.4383174534</v>
      </c>
      <c r="J27" t="n">
        <v>1482.02057858653</v>
      </c>
      <c r="K27" t="n">
        <v>2628.0976910972</v>
      </c>
    </row>
    <row r="28">
      <c r="A28" t="n">
        <v>2016</v>
      </c>
      <c r="B28" t="n">
        <v>1.727</v>
      </c>
      <c r="C28" t="n">
        <v>75.081</v>
      </c>
      <c r="D28" t="n">
        <v>14.6</v>
      </c>
      <c r="E28" t="n">
        <v>11.58</v>
      </c>
      <c r="F28" t="n">
        <v>53.4</v>
      </c>
      <c r="G28" t="n">
        <v>6.5</v>
      </c>
      <c r="H28" t="n">
        <v>92.80999755859381</v>
      </c>
      <c r="I28" t="n">
        <v>14309.2061489274</v>
      </c>
      <c r="J28" t="n">
        <v>1414.8979311951</v>
      </c>
      <c r="K28" t="n">
        <v>2592.61337303819</v>
      </c>
    </row>
    <row r="29">
      <c r="A29" t="n">
        <v>2017</v>
      </c>
      <c r="B29" t="n">
        <v>1.74</v>
      </c>
      <c r="C29" t="n">
        <v>75.383</v>
      </c>
      <c r="D29" t="n">
        <v>13.3</v>
      </c>
      <c r="E29" t="n">
        <v>12.792</v>
      </c>
      <c r="F29" t="n">
        <v>53.3</v>
      </c>
      <c r="G29" t="n">
        <v>7</v>
      </c>
      <c r="H29" t="n">
        <v>93.0800018310547</v>
      </c>
      <c r="I29" t="n">
        <v>14559.0488897004</v>
      </c>
      <c r="J29" t="n">
        <v>1431.95949698072</v>
      </c>
      <c r="K29" t="n">
        <v>2610.16613569938</v>
      </c>
    </row>
    <row r="30">
      <c r="A30" t="n">
        <v>2018</v>
      </c>
      <c r="B30" t="n">
        <v>1.744</v>
      </c>
      <c r="C30" t="n">
        <v>75.633</v>
      </c>
      <c r="D30" t="n">
        <v>13.1</v>
      </c>
      <c r="E30" t="n">
        <v>12.329</v>
      </c>
      <c r="F30" t="n">
        <v>53.9</v>
      </c>
      <c r="G30" t="n">
        <v>6.9</v>
      </c>
      <c r="H30" t="n">
        <v>93.23000335693359</v>
      </c>
      <c r="I30" t="n">
        <v>15463.7426393889</v>
      </c>
      <c r="J30" t="n">
        <v>1403.40232453429</v>
      </c>
      <c r="K30" t="n">
        <v>2640.41643831267</v>
      </c>
    </row>
    <row r="31">
      <c r="A31" t="n">
        <v>2019</v>
      </c>
      <c r="B31" t="n">
        <v>1.705</v>
      </c>
      <c r="C31" t="n">
        <v>75.809</v>
      </c>
      <c r="D31" t="n">
        <v>12.9</v>
      </c>
      <c r="E31" t="n">
        <v>11.936</v>
      </c>
      <c r="F31" t="n">
        <v>53.5</v>
      </c>
      <c r="G31" t="n">
        <v>7</v>
      </c>
      <c r="H31" t="n">
        <v>93.89262669995369</v>
      </c>
      <c r="I31" t="n">
        <v>16069.8380152627</v>
      </c>
      <c r="J31" t="n">
        <v>1415.83477031974</v>
      </c>
      <c r="K31" t="n">
        <v>2661.18328561313</v>
      </c>
    </row>
    <row r="32">
      <c r="A32" t="n">
        <v>2020</v>
      </c>
      <c r="B32" t="n">
        <v>1.653</v>
      </c>
      <c r="C32" t="n">
        <v>74.506</v>
      </c>
      <c r="D32" t="n">
        <v>12.8</v>
      </c>
      <c r="E32" t="n">
        <v>13.697</v>
      </c>
      <c r="F32" t="n">
        <v>48.8</v>
      </c>
      <c r="G32" t="n">
        <v>2.8</v>
      </c>
      <c r="H32" t="n">
        <v>94.7444114331042</v>
      </c>
      <c r="I32" t="n">
        <v>16101.6183063466</v>
      </c>
      <c r="J32" t="n">
        <v>1379.24649914162</v>
      </c>
      <c r="K32" t="n">
        <v>2624.9103317622</v>
      </c>
    </row>
    <row r="33">
      <c r="A33" t="n">
        <v>2021</v>
      </c>
      <c r="B33" t="n">
        <v>1.638</v>
      </c>
      <c r="C33" t="n">
        <v>73.038</v>
      </c>
      <c r="D33" t="n">
        <v>12.7</v>
      </c>
      <c r="E33" t="n">
        <v>13.158</v>
      </c>
      <c r="F33" t="n">
        <v>52.9</v>
      </c>
      <c r="G33" t="n">
        <v>7.5</v>
      </c>
      <c r="H33" t="n">
        <v>94.7726170886975</v>
      </c>
      <c r="I33" t="n">
        <v>18075.7060049068</v>
      </c>
      <c r="J33" t="n">
        <v>1430.3934661032</v>
      </c>
      <c r="K33" t="n">
        <v>2723.96659104663</v>
      </c>
    </row>
    <row r="34">
      <c r="A34" t="n">
        <v>2022</v>
      </c>
      <c r="B34" t="n">
        <v>1.629</v>
      </c>
      <c r="C34" t="n">
        <v>74.872</v>
      </c>
      <c r="D34" t="n">
        <v>12.6</v>
      </c>
      <c r="E34" t="n">
        <v>9.231</v>
      </c>
      <c r="F34" t="n">
        <v>51.9</v>
      </c>
      <c r="G34" t="n">
        <v>4.9</v>
      </c>
      <c r="H34" t="n">
        <v>94.37686616010799</v>
      </c>
      <c r="I34" t="n">
        <v>19873.7032623309</v>
      </c>
      <c r="J34" t="n">
        <v>1440.53287973747</v>
      </c>
      <c r="K34" t="n">
        <v>2787.76089640442</v>
      </c>
    </row>
    <row r="35">
      <c r="A35" t="n">
        <v>2023</v>
      </c>
      <c r="B35" t="n">
        <v>1.619</v>
      </c>
      <c r="C35" t="n">
        <v>75.848</v>
      </c>
      <c r="D35" t="n">
        <v>12.4</v>
      </c>
      <c r="E35" t="n">
        <v>7.947</v>
      </c>
      <c r="F35" t="n">
        <v>51.5</v>
      </c>
      <c r="G35" t="n">
        <v>3.8</v>
      </c>
      <c r="H35" t="n">
        <v>94.57254906350769</v>
      </c>
      <c r="I35" t="n">
        <v>21193.0721417478</v>
      </c>
      <c r="J35" t="n">
        <v>1495.19854407251</v>
      </c>
      <c r="K35" t="n">
        <v>2916.48609397384</v>
      </c>
    </row>
    <row r="36">
      <c r="A36" t="n">
        <v>2024</v>
      </c>
      <c r="B36" t="n">
        <v>1.614</v>
      </c>
      <c r="C36" t="n">
        <v>76.023</v>
      </c>
      <c r="D36" t="n">
        <v>12.3</v>
      </c>
      <c r="E36" t="n">
        <v>6.801</v>
      </c>
      <c r="F36" t="n">
        <v>50.3</v>
      </c>
      <c r="G36" t="n">
        <v>3</v>
      </c>
      <c r="H36" t="n">
        <v>94.7399978637695</v>
      </c>
      <c r="I36" t="n">
        <v>22370.9182253225</v>
      </c>
      <c r="J36" t="n">
        <v>1528.21933899585</v>
      </c>
      <c r="K36" t="n">
        <v>3068.09612345834</v>
      </c>
    </row>
    <row r="37">
      <c r="A37" t="n">
        <v>2025</v>
      </c>
      <c r="E37" t="n">
        <v>5.97</v>
      </c>
      <c r="I37" t="n">
        <v>23433.2897595431</v>
      </c>
      <c r="K37" t="n">
        <v>3138.17702497183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2026-10-24T21:08:47Z</dcterms:created>
  <dcterms:modified xsi:type="dcterms:W3CDTF">2026-10-24T21:08:48Z</dcterms:modified>
</cp:coreProperties>
</file>